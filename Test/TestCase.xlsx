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" sheetId="1" state="visible" r:id="rId3"/>
    <sheet name="Test Case" sheetId="2" state="visible" r:id="rId4"/>
    <sheet name="Điểm cần xác minh" sheetId="3" state="visible" r:id="rId5"/>
  </sheets>
  <definedNames>
    <definedName function="false" hidden="true" localSheetId="1" name="_xlnm._FilterDatabase" vbProcedure="false">'Test Case'!$A$1:$O$184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<sst xmlns="http://schemas.openxmlformats.org/spreadsheetml/2006/main" count="2144" uniqueCount="1035">
  <si>
    <t xml:space="preserve">BỘ TEST CASE – KEEP FIGHTING AND EARNING</t>
  </si>
  <si>
    <t xml:space="preserve">Dự án</t>
  </si>
  <si>
    <t xml:space="preserve">Keep Fighting And Earning (2D Roguelike / Dungeon Crawler)</t>
  </si>
  <si>
    <t xml:space="preserve">Engine</t>
  </si>
  <si>
    <t xml:space="preserve">Godot Engine 4.7.x, GDScript, GL Compatibility</t>
  </si>
  <si>
    <t xml:space="preserve">Phạm vi</t>
  </si>
  <si>
    <t xml:space="preserve">Kiểm thử chức năng, biên, tiêu cực và giao diện (thủ công)</t>
  </si>
  <si>
    <t xml:space="preserve">Nguồn</t>
  </si>
  <si>
    <t xml:space="preserve">Đọc từ README.md và toàn bộ script .gd trong repo</t>
  </si>
  <si>
    <t xml:space="preserve">Cách dùng</t>
  </si>
  <si>
    <t xml:space="preserve">Cập nhật cột 'Kết quả thực tế', 'Trạng thái' ở sheet Test Case; bảng dưới tự thống kê</t>
  </si>
  <si>
    <t xml:space="preserve">Module</t>
  </si>
  <si>
    <t xml:space="preserve">Tổng</t>
  </si>
  <si>
    <t xml:space="preserve">Đạt</t>
  </si>
  <si>
    <t xml:space="preserve">Không đạt</t>
  </si>
  <si>
    <t xml:space="preserve">Bị chặn</t>
  </si>
  <si>
    <t xml:space="preserve">Chưa chạy</t>
  </si>
  <si>
    <t xml:space="preserve">% Đạt</t>
  </si>
  <si>
    <t xml:space="preserve">% Đã chạy</t>
  </si>
  <si>
    <t xml:space="preserve">Menu chính</t>
  </si>
  <si>
    <t xml:space="preserve">Chọn nhân vật</t>
  </si>
  <si>
    <t xml:space="preserve">Pause Menu</t>
  </si>
  <si>
    <t xml:space="preserve">Game Over</t>
  </si>
  <si>
    <t xml:space="preserve">Di chuyển &amp; điều khiển</t>
  </si>
  <si>
    <t xml:space="preserve">Máu / Giáp / Bất tử</t>
  </si>
  <si>
    <t xml:space="preserve">Pyrois</t>
  </si>
  <si>
    <t xml:space="preserve">Olaf</t>
  </si>
  <si>
    <t xml:space="preserve">Miya</t>
  </si>
  <si>
    <t xml:space="preserve">Charlotte</t>
  </si>
  <si>
    <t xml:space="preserve">Vật phẩm</t>
  </si>
  <si>
    <t xml:space="preserve">Túi đồ &amp; trang bị</t>
  </si>
  <si>
    <t xml:space="preserve">Rương &amp; nhặt đồ</t>
  </si>
  <si>
    <t xml:space="preserve">HUD &amp; Hotbar</t>
  </si>
  <si>
    <t xml:space="preserve">Sinh hầm ngục</t>
  </si>
  <si>
    <t xml:space="preserve">Phòng &amp; khóa cửa</t>
  </si>
  <si>
    <t xml:space="preserve">Bẫy gai</t>
  </si>
  <si>
    <t xml:space="preserve">Cổng &amp; qua màn</t>
  </si>
  <si>
    <t xml:space="preserve">Quái thường</t>
  </si>
  <si>
    <t xml:space="preserve">Boss</t>
  </si>
  <si>
    <t xml:space="preserve">Đạn &amp; bom</t>
  </si>
  <si>
    <t xml:space="preserve">Hệ thống &amp; môi trường</t>
  </si>
  <si>
    <t xml:space="preserve">TỔNG CỘNG</t>
  </si>
  <si>
    <t xml:space="preserve">ID</t>
  </si>
  <si>
    <t xml:space="preserve">Chức năng</t>
  </si>
  <si>
    <t xml:space="preserve">Tiêu đề test case</t>
  </si>
  <si>
    <t xml:space="preserve">Điều kiện tiên quyết</t>
  </si>
  <si>
    <t xml:space="preserve">Các bước thực hiện</t>
  </si>
  <si>
    <t xml:space="preserve">Dữ liệu test</t>
  </si>
  <si>
    <t xml:space="preserve">Kết quả mong đợi</t>
  </si>
  <si>
    <t xml:space="preserve">Loại</t>
  </si>
  <si>
    <t xml:space="preserve">Ưu tiên</t>
  </si>
  <si>
    <t xml:space="preserve">Kết quả thực tế</t>
  </si>
  <si>
    <t xml:space="preserve">Trạng thái</t>
  </si>
  <si>
    <t xml:space="preserve">Người test</t>
  </si>
  <si>
    <t xml:space="preserve">Ngày test</t>
  </si>
  <si>
    <t xml:space="preserve">Ghi chú</t>
  </si>
  <si>
    <t xml:space="preserve">TC-MN-01</t>
  </si>
  <si>
    <t xml:space="preserve">Hiển thị</t>
  </si>
  <si>
    <t xml:space="preserve">Main Menu hiển thị khi khởi chạy game</t>
  </si>
  <si>
    <t xml:space="preserve">Đã import dự án vào Godot</t>
  </si>
  <si>
    <t xml:space="preserve">1. Nhấn F5 để chạy game</t>
  </si>
  <si>
    <t xml:space="preserve">-</t>
  </si>
  <si>
    <t xml:space="preserve">Hiển thị Main Menu có nút Start và Exit; không có lỗi trong Output</t>
  </si>
  <si>
    <t xml:space="preserve">Cao</t>
  </si>
  <si>
    <t xml:space="preserve">README ghi có thêm nút Options nhưng script main_menu.gd chỉ xử lý Start và Exit</t>
  </si>
  <si>
    <t xml:space="preserve">TC-MN-02</t>
  </si>
  <si>
    <t xml:space="preserve">Start</t>
  </si>
  <si>
    <t xml:space="preserve">Nhấn Start chuyển sang màn Chọn nhân vật</t>
  </si>
  <si>
    <t xml:space="preserve">Đang ở Main Menu</t>
  </si>
  <si>
    <t xml:space="preserve">1. Nhấn nút Start</t>
  </si>
  <si>
    <t xml:space="preserve">Chuyển sang scene CharacterSelect, hiển thị 4 nút nhân vật</t>
  </si>
  <si>
    <t xml:space="preserve">TC-MN-03</t>
  </si>
  <si>
    <t xml:space="preserve">Exit</t>
  </si>
  <si>
    <t xml:space="preserve">Nhấn Exit thoát game</t>
  </si>
  <si>
    <t xml:space="preserve">1. Nhấn nút Exit</t>
  </si>
  <si>
    <t xml:space="preserve">Cửa sổ game đóng, tiến trình dừng</t>
  </si>
  <si>
    <t xml:space="preserve">TC-MN-04</t>
  </si>
  <si>
    <t xml:space="preserve">Nhấn Start nhiều lần liên tiếp</t>
  </si>
  <si>
    <t xml:space="preserve">1. Nhấn nhanh nút Start 5 lần</t>
  </si>
  <si>
    <t xml:space="preserve">Chỉ chuyển scene một lần, không lỗi, không tạo scene trùng</t>
  </si>
  <si>
    <t xml:space="preserve">Tiêu cực</t>
  </si>
  <si>
    <t xml:space="preserve">Trung bình</t>
  </si>
  <si>
    <t xml:space="preserve">Script dùng button_down nên kích hoạt ngay khi nhấn xuống</t>
  </si>
  <si>
    <t xml:space="preserve">TC-CS-01</t>
  </si>
  <si>
    <t xml:space="preserve">Chọn Pyrois vào game thành công</t>
  </si>
  <si>
    <t xml:space="preserve">Đang ở màn Chọn nhân vật</t>
  </si>
  <si>
    <t xml:space="preserve">1. Nhấn nút nhân vật 1 (Pyrois)
2. Quan sát màn chơi và HUD</t>
  </si>
  <si>
    <t xml:space="preserve">Nhân vật: Pyrois</t>
  </si>
  <si>
    <t xml:space="preserve">Vào world.tscn, nhân vật Pyrois xuất hiện ở phòng xuất phát; HUD hiển thị 4 tim và 4 giáp (chưa trang bị)</t>
  </si>
  <si>
    <t xml:space="preserve">README ghi Pyrois 'khởi điểm 5 máu' nhưng code: hp = max_hp = base_max_hp (4)</t>
  </si>
  <si>
    <t xml:space="preserve">TC-CS-02</t>
  </si>
  <si>
    <t xml:space="preserve">Chọn Olaf vào game thành công</t>
  </si>
  <si>
    <t xml:space="preserve">1. Nhấn nút nhân vật 2 (Olaf)
2. Quan sát màn chơi và HUD</t>
  </si>
  <si>
    <t xml:space="preserve">Nhân vật: Olaf</t>
  </si>
  <si>
    <t xml:space="preserve">Vào world.tscn, nhân vật Olaf xuất hiện ở phòng xuất phát; HUD hiển thị 6 tim và 1 giáp (chưa trang bị)</t>
  </si>
  <si>
    <t xml:space="preserve">TC-CS-03</t>
  </si>
  <si>
    <t xml:space="preserve">Chọn Miya vào game thành công</t>
  </si>
  <si>
    <t xml:space="preserve">1. Nhấn nút nhân vật 3 (Miya)
2. Quan sát màn chơi và HUD</t>
  </si>
  <si>
    <t xml:space="preserve">Nhân vật: Miya</t>
  </si>
  <si>
    <t xml:space="preserve">Vào world.tscn, nhân vật Miya xuất hiện ở phòng xuất phát; HUD hiển thị 4 tim và 1 giáp (chưa trang bị)</t>
  </si>
  <si>
    <t xml:space="preserve">TC-CS-04</t>
  </si>
  <si>
    <t xml:space="preserve">Chọn Charlotte vào game thành công</t>
  </si>
  <si>
    <t xml:space="preserve">1. Nhấn nút nhân vật 4 (Charlotte)
2. Quan sát màn chơi và HUD</t>
  </si>
  <si>
    <t xml:space="preserve">Nhân vật: Charlotte</t>
  </si>
  <si>
    <t xml:space="preserve">Vào world.tscn, nhân vật Charlotte xuất hiện ở phòng xuất phát; HUD hiển thị 5 tim và 0 giáp (chưa trang bị)</t>
  </si>
  <si>
    <t xml:space="preserve">TC-CS-05</t>
  </si>
  <si>
    <t xml:space="preserve">Nhân vật đã chọn được giữ khi Retry</t>
  </si>
  <si>
    <t xml:space="preserve">Đã chơi và chết với Olaf</t>
  </si>
  <si>
    <t xml:space="preserve">1. Ở màn Game Over nhấn Retry
2. Chọn Miya
3. Quan sát nhân vật trong game</t>
  </si>
  <si>
    <t xml:space="preserve">Vào game với Miya, không bị dùng lại Olaf</t>
  </si>
  <si>
    <t xml:space="preserve">TC-CS-06</t>
  </si>
  <si>
    <t xml:space="preserve">Nhân vật cũ không bị giữ khi chọn lại</t>
  </si>
  <si>
    <t xml:space="preserve">Đã chơi 1 ván với Pyrois rồi Retry</t>
  </si>
  <si>
    <t xml:space="preserve">1. Chọn Charlotte
2. Vào game</t>
  </si>
  <si>
    <t xml:space="preserve">Nhân vật là Charlotte (GameManager cập nhật đúng)</t>
  </si>
  <si>
    <t xml:space="preserve">TC-CS-07</t>
  </si>
  <si>
    <t xml:space="preserve">Nhấn nhanh 2 nút nhân vật liên tiếp</t>
  </si>
  <si>
    <t xml:space="preserve">1. Nhấn nút Char_1 rồi Char_4 thật nhanh</t>
  </si>
  <si>
    <t xml:space="preserve">Game vào world một lần, không lỗi hoặc crash</t>
  </si>
  <si>
    <t xml:space="preserve">Thấp</t>
  </si>
  <si>
    <t xml:space="preserve">TC-PA-01</t>
  </si>
  <si>
    <t xml:space="preserve">Pause</t>
  </si>
  <si>
    <t xml:space="preserve">ESC mở Pause Menu</t>
  </si>
  <si>
    <t xml:space="preserve">Đang trong màn chơi</t>
  </si>
  <si>
    <t xml:space="preserve">1. Nhấn ESC</t>
  </si>
  <si>
    <t xml:space="preserve">Pause Menu hiện, game dừng (quái, bẫy, đạn đứng yên)</t>
  </si>
  <si>
    <t xml:space="preserve">TC-PA-02</t>
  </si>
  <si>
    <t xml:space="preserve">ESC lần 2 tiếp tục game</t>
  </si>
  <si>
    <t xml:space="preserve">Pause Menu đang mở</t>
  </si>
  <si>
    <t xml:space="preserve">1. Nhấn ESC lần nữa</t>
  </si>
  <si>
    <t xml:space="preserve">Menu ẩn, game chạy tiếp</t>
  </si>
  <si>
    <t xml:space="preserve">TC-PA-03</t>
  </si>
  <si>
    <t xml:space="preserve">Nút Resume tiếp tục game</t>
  </si>
  <si>
    <t xml:space="preserve">1. Nhấn Resume</t>
  </si>
  <si>
    <t xml:space="preserve">TC-PA-04</t>
  </si>
  <si>
    <t xml:space="preserve">Nút Restart tải lại màn chơi</t>
  </si>
  <si>
    <t xml:space="preserve">Đang chơi tầng 2 hoặc đã nhặt đồ</t>
  </si>
  <si>
    <t xml:space="preserve">1. Mở Pause, nhấn Restart</t>
  </si>
  <si>
    <t xml:space="preserve">Scene world tải lại, tầng về giá trị khởi đầu, túi đồ và chỉ số được khởi tạo lại; vẫn dùng nhân vật đã chọn</t>
  </si>
  <si>
    <t xml:space="preserve">Restart dùng reload_current_scene nên không quay về màn Chọn nhân vật</t>
  </si>
  <si>
    <t xml:space="preserve">TC-PA-05</t>
  </si>
  <si>
    <t xml:space="preserve">Nút Exit thoát game</t>
  </si>
  <si>
    <t xml:space="preserve">1. Nhấn Exit</t>
  </si>
  <si>
    <t xml:space="preserve">Game đóng</t>
  </si>
  <si>
    <t xml:space="preserve">TC-PA-06</t>
  </si>
  <si>
    <t xml:space="preserve">Không bấm được hành động khi game tạm dừng</t>
  </si>
  <si>
    <t xml:space="preserve">1. Click chuột, nhấn WASD, Q, 1-9</t>
  </si>
  <si>
    <t xml:space="preserve">Nhân vật không di chuyển/tấn công/dùng vật phẩm khi đang pause</t>
  </si>
  <si>
    <t xml:space="preserve">TC-PA-07</t>
  </si>
  <si>
    <t xml:space="preserve">ESC không mở Pause khi đang Game Over</t>
  </si>
  <si>
    <t xml:space="preserve">Nhân vật vừa chết, Game Over Menu đang hiện</t>
  </si>
  <si>
    <t xml:space="preserve">Pause Menu không hiện (bị chặn bởi kiểm tra game_over_menu)</t>
  </si>
  <si>
    <t xml:space="preserve">TC-PA-08</t>
  </si>
  <si>
    <t xml:space="preserve">Timer tạm dừng cùng game</t>
  </si>
  <si>
    <t xml:space="preserve">Cooldown kỹ năng Q đang đếm</t>
  </si>
  <si>
    <t xml:space="preserve">1. Nhấn Q
2. Ngay lập tức pause 10 giây
3. Resume
4. Quan sát cooldown</t>
  </si>
  <si>
    <t xml:space="preserve">Cooldown không giảm trong lúc pause</t>
  </si>
  <si>
    <t xml:space="preserve">Biên</t>
  </si>
  <si>
    <t xml:space="preserve">TC-GO-01</t>
  </si>
  <si>
    <t xml:space="preserve">Hiện Game Over khi hết máu</t>
  </si>
  <si>
    <t xml:space="preserve">Nhân vật còn 1 máu, giáp = 0</t>
  </si>
  <si>
    <t xml:space="preserve">1. Để quái đánh trúng nhân vật
2. Chờ 2 giây sau hoạt ảnh chết</t>
  </si>
  <si>
    <t xml:space="preserve">Phát hoạt ảnh death; sau 2 giây hiện Game Over Menu và game tạm dừng</t>
  </si>
  <si>
    <t xml:space="preserve">TC-GO-02</t>
  </si>
  <si>
    <t xml:space="preserve">Nút Retry quay về Chọn nhân vật</t>
  </si>
  <si>
    <t xml:space="preserve">Game Over Menu đang hiện</t>
  </si>
  <si>
    <t xml:space="preserve">1. Nhấn Retry</t>
  </si>
  <si>
    <t xml:space="preserve">Game bỏ pause và chuyển về màn Chọn nhân vật</t>
  </si>
  <si>
    <t xml:space="preserve">TC-GO-03</t>
  </si>
  <si>
    <t xml:space="preserve">TC-GO-04</t>
  </si>
  <si>
    <t xml:space="preserve">Nhân vật chết không còn nhận thêm sát thương</t>
  </si>
  <si>
    <t xml:space="preserve">Nhân vật vừa chết</t>
  </si>
  <si>
    <t xml:space="preserve">1. Để quái/bẫy đánh tiếp trong 2 giây chờ</t>
  </si>
  <si>
    <t xml:space="preserve">Không phát sinh thêm lỗi; Game Over chỉ hiện một lần</t>
  </si>
  <si>
    <t xml:space="preserve">TC-GO-05</t>
  </si>
  <si>
    <t xml:space="preserve">Không điều khiển được khi đã chết</t>
  </si>
  <si>
    <t xml:space="preserve">Nhân vật vừa chết (trong 2 giây chờ)</t>
  </si>
  <si>
    <t xml:space="preserve">1. Nhấn WASD, Q, chuột trái, phím 1-9</t>
  </si>
  <si>
    <t xml:space="preserve">Nhân vật không phản hồi (is_dead = true)</t>
  </si>
  <si>
    <t xml:space="preserve">TC-MV-01</t>
  </si>
  <si>
    <t xml:space="preserve">Di chuyển</t>
  </si>
  <si>
    <t xml:space="preserve">Di chuyển 4 hướng W/A/S/D</t>
  </si>
  <si>
    <t xml:space="preserve">Đang trong màn chơi, Pyrois</t>
  </si>
  <si>
    <t xml:space="preserve">1. Nhấn lần lượt W, A, S, D</t>
  </si>
  <si>
    <t xml:space="preserve">Nhân vật di chuyển lên, trái, xuống, phải; phát hoạt ảnh walk; dừng thì phát idle</t>
  </si>
  <si>
    <t xml:space="preserve">TC-MV-02</t>
  </si>
  <si>
    <t xml:space="preserve">Di chuyển chéo không nhanh hơn</t>
  </si>
  <si>
    <t xml:space="preserve">Pyrois, tốc độ 150</t>
  </si>
  <si>
    <t xml:space="preserve">1. Giữ W+D cùng lúc và đo quãng đường trong 2 giây
2. So sánh với chỉ giữ D</t>
  </si>
  <si>
    <t xml:space="preserve">Tốc độ chéo bằng tốc độ thẳng (vector chuẩn hóa)</t>
  </si>
  <si>
    <t xml:space="preserve">TC-MV-03</t>
  </si>
  <si>
    <t xml:space="preserve">Nhấn hai phím ngược chiều</t>
  </si>
  <si>
    <t xml:space="preserve">1. Giữ A và D cùng lúc</t>
  </si>
  <si>
    <t xml:space="preserve">Nhân vật đứng yên, phát idle</t>
  </si>
  <si>
    <t xml:space="preserve">TC-MV-04</t>
  </si>
  <si>
    <t xml:space="preserve">Quay mặt theo chuột</t>
  </si>
  <si>
    <t xml:space="preserve">1. Di chuột sang bên trái nhân vật
2. Di chuột sang bên phải</t>
  </si>
  <si>
    <t xml:space="preserve">Sprite lật trái/phải theo vị trí chuột; hitbox kiếm lật theo</t>
  </si>
  <si>
    <t xml:space="preserve">TC-MV-05</t>
  </si>
  <si>
    <t xml:space="preserve">Va chạm với tường</t>
  </si>
  <si>
    <t xml:space="preserve">1. Đi thẳng vào tường</t>
  </si>
  <si>
    <t xml:space="preserve">Nhân vật bị chặn, không đi xuyên tường hay cột đá</t>
  </si>
  <si>
    <t xml:space="preserve">TC-MV-06</t>
  </si>
  <si>
    <t xml:space="preserve">Không thể di chuyển khi đang tấn công</t>
  </si>
  <si>
    <t xml:space="preserve">1. Nhấn chuột trái và giữ W ngay khi vung kiếm</t>
  </si>
  <si>
    <t xml:space="preserve">Nhân vật đứng yên trong lúc hoạt ảnh attack_1 chạy, sau đó di chuyển lại bình thường</t>
  </si>
  <si>
    <t xml:space="preserve">TC-MV-07</t>
  </si>
  <si>
    <t xml:space="preserve">Không thể di chuyển khi bị thương</t>
  </si>
  <si>
    <t xml:space="preserve">Pyrois bị đánh</t>
  </si>
  <si>
    <t xml:space="preserve">1. Để quái đánh trúng
2. Giữ phím di chuyển</t>
  </si>
  <si>
    <t xml:space="preserve">Nhân vật đứng yên đến khi hoạt ảnh hurt kết thúc</t>
  </si>
  <si>
    <t xml:space="preserve">TC-HP-01</t>
  </si>
  <si>
    <t xml:space="preserve">Sát thương</t>
  </si>
  <si>
    <t xml:space="preserve">Sát thương trừ vào Giáp trước</t>
  </si>
  <si>
    <t xml:space="preserve">Pyrois: Giáp 4/4, Máu 4/4</t>
  </si>
  <si>
    <t xml:space="preserve">1. Nhận 1 sát thương từ Orc</t>
  </si>
  <si>
    <t xml:space="preserve">Sát thương = 1</t>
  </si>
  <si>
    <t xml:space="preserve">Giáp 3/4, Máu giữ nguyên 4/4; HUD cập nhật</t>
  </si>
  <si>
    <t xml:space="preserve">TC-HP-02</t>
  </si>
  <si>
    <t xml:space="preserve">Sát thương tràn sang Máu khi vỡ Giáp</t>
  </si>
  <si>
    <t xml:space="preserve">Pyrois: Giáp 1/4, Máu 4/4</t>
  </si>
  <si>
    <t xml:space="preserve">1. Nhận 3 sát thương (vd. Armored Orc rage)</t>
  </si>
  <si>
    <t xml:space="preserve">Sát thương = 3</t>
  </si>
  <si>
    <t xml:space="preserve">Giáp về 0, Máu mất 2 (còn 2/4)</t>
  </si>
  <si>
    <t xml:space="preserve">TC-HP-03</t>
  </si>
  <si>
    <t xml:space="preserve">Sát thương đúng bằng Giáp hiện có</t>
  </si>
  <si>
    <t xml:space="preserve">Pyrois: Giáp 2/4</t>
  </si>
  <si>
    <t xml:space="preserve">1. Nhận 2 sát thương</t>
  </si>
  <si>
    <t xml:space="preserve">Sát thương = 2</t>
  </si>
  <si>
    <t xml:space="preserve">Giáp về 0, Máu giữ nguyên</t>
  </si>
  <si>
    <t xml:space="preserve">TC-HP-04</t>
  </si>
  <si>
    <t xml:space="preserve">Nhận sát thương khi Giáp = 0</t>
  </si>
  <si>
    <t xml:space="preserve">Giáp 0/4, Máu 4/4</t>
  </si>
  <si>
    <t xml:space="preserve">1. Nhận 1 sát thương</t>
  </si>
  <si>
    <t xml:space="preserve">Máu còn 3/4</t>
  </si>
  <si>
    <t xml:space="preserve">TC-HP-05</t>
  </si>
  <si>
    <t xml:space="preserve">Sát thương &lt;= 0 bị bỏ qua</t>
  </si>
  <si>
    <t xml:space="preserve">1. Gọi take_damage(0) hoặc take_damage(-1) (qua debug)</t>
  </si>
  <si>
    <t xml:space="preserve">0, -1</t>
  </si>
  <si>
    <t xml:space="preserve">Không đổi Giáp/Máu, không phát I-Frames</t>
  </si>
  <si>
    <t xml:space="preserve">TC-HP-06</t>
  </si>
  <si>
    <t xml:space="preserve">Bất tử</t>
  </si>
  <si>
    <t xml:space="preserve">I-Frames 0.75 giây sau khi bị đánh</t>
  </si>
  <si>
    <t xml:space="preserve">Pyrois, đứng cạnh 2 quái</t>
  </si>
  <si>
    <t xml:space="preserve">1. Bị đánh lần 1
2. Trong 0.75 giây bị đánh thêm</t>
  </si>
  <si>
    <t xml:space="preserve">Nhân vật nhấp nháy 5 lần; đòn thứ 2 trong 0.75 giây không gây sát thương</t>
  </si>
  <si>
    <t xml:space="preserve">TC-HP-07</t>
  </si>
  <si>
    <t xml:space="preserve">Hết I-Frames nhận sát thương trở lại</t>
  </si>
  <si>
    <t xml:space="preserve">1. Bị đánh
2. Chờ &gt; 0.75 giây
3. Bị đánh tiếp</t>
  </si>
  <si>
    <t xml:space="preserve">Đòn sau 0.75 giây gây sát thương bình thường; alpha sprite về 1.0</t>
  </si>
  <si>
    <t xml:space="preserve">TC-HP-08</t>
  </si>
  <si>
    <t xml:space="preserve">Hồi giáp</t>
  </si>
  <si>
    <t xml:space="preserve">Giáp tự hồi sau 4 giây không bị đánh</t>
  </si>
  <si>
    <t xml:space="preserve">Giáp 1/4</t>
  </si>
  <si>
    <t xml:space="preserve">1. Tránh mọi sát thương
2. Quan sát giáp sau 4 giây</t>
  </si>
  <si>
    <t xml:space="preserve">Delay 4s, tốc độ 1 giáp/giây</t>
  </si>
  <si>
    <t xml:space="preserve">Sau 4 giây giáp bắt đầu hồi +1 mỗi giây đến khi đầy 4/4</t>
  </si>
  <si>
    <t xml:space="preserve">TC-HP-09</t>
  </si>
  <si>
    <t xml:space="preserve">Bị đánh khi đang hồi giáp thì reset</t>
  </si>
  <si>
    <t xml:space="preserve">Giáp đang hồi (2/4)</t>
  </si>
  <si>
    <t xml:space="preserve">1. Nhận 1 sát thương khi đang hồi</t>
  </si>
  <si>
    <t xml:space="preserve">Dừng hồi giáp, đếm lại 4 giây rồi mới hồi tiếp</t>
  </si>
  <si>
    <t xml:space="preserve">TC-HP-10</t>
  </si>
  <si>
    <t xml:space="preserve">Hồi giáp dừng khi đầy</t>
  </si>
  <si>
    <t xml:space="preserve">1. Chờ giáp hồi đầy</t>
  </si>
  <si>
    <t xml:space="preserve">Giáp dừng ở mức tối đa, không vượt quá</t>
  </si>
  <si>
    <t xml:space="preserve">TC-HP-11</t>
  </si>
  <si>
    <t xml:space="preserve">Chết</t>
  </si>
  <si>
    <t xml:space="preserve">Nhân vật chết khi Máu về 0</t>
  </si>
  <si>
    <t xml:space="preserve">Giáp 0, Máu 1</t>
  </si>
  <si>
    <t xml:space="preserve">Phát hoạt ảnh death, tắt physics, vô hiệu hóa PlayerHurtbox</t>
  </si>
  <si>
    <t xml:space="preserve">TC-HP-12</t>
  </si>
  <si>
    <t xml:space="preserve">Sát thương quá lớn vượt Máu</t>
  </si>
  <si>
    <t xml:space="preserve">1. Nhận sát thương 5</t>
  </si>
  <si>
    <t xml:space="preserve">Máu = 0 (không âm), nhân vật chết</t>
  </si>
  <si>
    <t xml:space="preserve">TC-HP-13</t>
  </si>
  <si>
    <t xml:space="preserve">Bị thương hủy hành động đang thực hiện</t>
  </si>
  <si>
    <t xml:space="preserve">Pyrois đang vung kiếm</t>
  </si>
  <si>
    <t xml:space="preserve">1. Bị quái đánh trúng lúc đang attack</t>
  </si>
  <si>
    <t xml:space="preserve">Hủy attack, tắt hitbox kiếm, chuyển hurt, không bị đơ nhân vật</t>
  </si>
  <si>
    <t xml:space="preserve">TC-PY-01</t>
  </si>
  <si>
    <t xml:space="preserve">Chỉ số</t>
  </si>
  <si>
    <t xml:space="preserve">Chỉ số khởi đầu của Pyrois</t>
  </si>
  <si>
    <t xml:space="preserve">Chọn Pyrois</t>
  </si>
  <si>
    <t xml:space="preserve">1. Vào game, kiểm tra HUD, tốc độ, sát thương</t>
  </si>
  <si>
    <t xml:space="preserve">Tốc độ 150, Máu 4, Giáp 4, Sát thương 1</t>
  </si>
  <si>
    <t xml:space="preserve">TC-PY-02</t>
  </si>
  <si>
    <t xml:space="preserve">Tấn công</t>
  </si>
  <si>
    <t xml:space="preserve">Chém kiếm bằng chuột trái</t>
  </si>
  <si>
    <t xml:space="preserve">Pyrois, trước mặt có quái đã kích hoạt</t>
  </si>
  <si>
    <t xml:space="preserve">1. Hướng chuột vào quái
2. Nhấn chuột trái</t>
  </si>
  <si>
    <t xml:space="preserve">Phát attack_1, quái mất 1 máu (chưa vũ khí)</t>
  </si>
  <si>
    <t xml:space="preserve">TC-PY-03</t>
  </si>
  <si>
    <t xml:space="preserve">Chém trúng nhiều quái cùng lúc</t>
  </si>
  <si>
    <t xml:space="preserve">2 quái đứng trong tầm kiếm</t>
  </si>
  <si>
    <t xml:space="preserve">1. Chém 1 lần</t>
  </si>
  <si>
    <t xml:space="preserve">Cả 2 quái nhận sát thương</t>
  </si>
  <si>
    <t xml:space="preserve">TC-PY-04</t>
  </si>
  <si>
    <t xml:space="preserve">Chém khi quái chưa kích hoạt</t>
  </si>
  <si>
    <t xml:space="preserve">Đang ở ngoài phòng chiến đấu, quái chưa active</t>
  </si>
  <si>
    <t xml:space="preserve">1. Chém quái</t>
  </si>
  <si>
    <t xml:space="preserve">Quái không mất máu (miễn nhiễm khi is_active = false)</t>
  </si>
  <si>
    <t xml:space="preserve">TC-PY-05</t>
  </si>
  <si>
    <t xml:space="preserve">Spam chuột trái</t>
  </si>
  <si>
    <t xml:space="preserve">1. Click liên tục 20 lần trong 3 giây</t>
  </si>
  <si>
    <t xml:space="preserve">Không đơ/crash; mỗi đòn chờ hoạt ảnh kết thúc mới chém tiếp</t>
  </si>
  <si>
    <t xml:space="preserve">TC-PY-06</t>
  </si>
  <si>
    <t xml:space="preserve">Kỹ năng Q</t>
  </si>
  <si>
    <t xml:space="preserve">Kỹ năng Q: nhảy bổ kiếm</t>
  </si>
  <si>
    <t xml:space="preserve">Pyrois, quái ở phía trước</t>
  </si>
  <si>
    <t xml:space="preserve">1. Nhấn Q hướng về quái</t>
  </si>
  <si>
    <t xml:space="preserve">Sát thương Q = base + 2</t>
  </si>
  <si>
    <t xml:space="preserve">Nhân vật lướt 150 px/s trong 0.3 giây rồi bổ xuống; quái nhận base + 2 = 3 sát thương</t>
  </si>
  <si>
    <t xml:space="preserve">TC-PY-07</t>
  </si>
  <si>
    <t xml:space="preserve">I-Frames trong lúc dùng Q</t>
  </si>
  <si>
    <t xml:space="preserve">Quái đang tấn công gần Pyrois</t>
  </si>
  <si>
    <t xml:space="preserve">1. Nhấn Q và để quái đánh trúng trong lúc nhảy</t>
  </si>
  <si>
    <t xml:space="preserve">Không nhận sát thương; sprite ánh xanh; hết kỹ năng thì tắt bất tử</t>
  </si>
  <si>
    <t xml:space="preserve">TC-PY-08</t>
  </si>
  <si>
    <t xml:space="preserve">Cooldown Q 5 giây</t>
  </si>
  <si>
    <t xml:space="preserve">1. Nhấn Q
2. Nhấn Q lại sau 2 giây
3. Nhấn Q lại sau 5 giây</t>
  </si>
  <si>
    <t xml:space="preserve">Cooldown 5.0s</t>
  </si>
  <si>
    <t xml:space="preserve">Lần 2 không kích hoạt; lần 3 kích hoạt thành công</t>
  </si>
  <si>
    <t xml:space="preserve">TC-PY-09</t>
  </si>
  <si>
    <t xml:space="preserve">Không dùng Q khi đang tấn công/bị thương</t>
  </si>
  <si>
    <t xml:space="preserve">1. Chém rồi nhấn Q ngay
2. Bị thương rồi nhấn Q</t>
  </si>
  <si>
    <t xml:space="preserve">Q không kích hoạt trong 2 trạng thái này</t>
  </si>
  <si>
    <t xml:space="preserve">TC-PY-10</t>
  </si>
  <si>
    <t xml:space="preserve">Q hướng theo mặt nhân vật</t>
  </si>
  <si>
    <t xml:space="preserve">Chuột bên trái nhân vật</t>
  </si>
  <si>
    <t xml:space="preserve">1. Nhấn Q</t>
  </si>
  <si>
    <t xml:space="preserve">Nhân vật lướt về bên trái</t>
  </si>
  <si>
    <t xml:space="preserve">TC-OL-01</t>
  </si>
  <si>
    <t xml:space="preserve">Chỉ số khởi đầu của Olaf</t>
  </si>
  <si>
    <t xml:space="preserve">Chọn Olaf</t>
  </si>
  <si>
    <t xml:space="preserve">1. Kiểm tra HUD, tốc độ, sát thương</t>
  </si>
  <si>
    <t xml:space="preserve">Tốc độ 160, Máu 6, Giáp 1, Sát thương 2</t>
  </si>
  <si>
    <t xml:space="preserve">TC-OL-02</t>
  </si>
  <si>
    <t xml:space="preserve">Cuồng nộ nhân đôi sát thương</t>
  </si>
  <si>
    <t xml:space="preserve">Olaf, base_damage = 2</t>
  </si>
  <si>
    <t xml:space="preserve">1. Nhấn Q
2. Chém quái trong 5 giây</t>
  </si>
  <si>
    <t xml:space="preserve">Buff 5s</t>
  </si>
  <si>
    <t xml:space="preserve">Sát thương đòn đánh = 4 trong thời gian buff</t>
  </si>
  <si>
    <t xml:space="preserve">TC-OL-03</t>
  </si>
  <si>
    <t xml:space="preserve">Hết buff sát thương trở về bình thường</t>
  </si>
  <si>
    <t xml:space="preserve">1. Nhấn Q
2. Chờ 5 giây
3. Chém quái</t>
  </si>
  <si>
    <t xml:space="preserve">Sát thương về 2; không bị cộng dồn hay thấp hơn ban đầu</t>
  </si>
  <si>
    <t xml:space="preserve">TC-OL-04</t>
  </si>
  <si>
    <t xml:space="preserve">Buff cộng đúng khi có vũ khí</t>
  </si>
  <si>
    <t xml:space="preserve">Olaf đã trang bị Kiếm sắt (+1)</t>
  </si>
  <si>
    <t xml:space="preserve">1. Nhấn Q
2. Chém quái</t>
  </si>
  <si>
    <t xml:space="preserve">base 2, vũ khí +1</t>
  </si>
  <si>
    <t xml:space="preserve">Sát thương trong buff = (2 + 2) + 1 = 5; hết buff về 2 + 1 = 3</t>
  </si>
  <si>
    <t xml:space="preserve">Kiểm tra README ghi 'nhân đôi sát thương của đòn đánh'; vũ khí không được nhân đôi</t>
  </si>
  <si>
    <t xml:space="preserve">TC-OL-05</t>
  </si>
  <si>
    <t xml:space="preserve">1. Nhấn Q
2. Nhấn Q lần nữa sau 3 giây</t>
  </si>
  <si>
    <t xml:space="preserve">Lần 2 không kích hoạt</t>
  </si>
  <si>
    <t xml:space="preserve">TC-OL-06</t>
  </si>
  <si>
    <t xml:space="preserve">Chết trong lúc buff</t>
  </si>
  <si>
    <t xml:space="preserve">Olaf đang buff</t>
  </si>
  <si>
    <t xml:space="preserve">1. Để quái đánh chết Olaf trong lúc buff</t>
  </si>
  <si>
    <t xml:space="preserve">Không phát sinh lỗi script; Game Over hiện bình thường</t>
  </si>
  <si>
    <t xml:space="preserve">TC-MI-01</t>
  </si>
  <si>
    <t xml:space="preserve">Chỉ số khởi đầu của Miya</t>
  </si>
  <si>
    <t xml:space="preserve">Chọn Miya</t>
  </si>
  <si>
    <t xml:space="preserve">Tốc độ 180, Máu 4, Giáp 1, Sát thương 2</t>
  </si>
  <si>
    <t xml:space="preserve">TC-MI-02</t>
  </si>
  <si>
    <t xml:space="preserve">Bắn tên theo hướng chuột</t>
  </si>
  <si>
    <t xml:space="preserve">1. Hướng chuột sang phải
2. Nhấn chuột trái</t>
  </si>
  <si>
    <t xml:space="preserve">Mũi tên xuất hiện cách nhân vật 16 px, bay thẳng về phía chuột, góc quay đúng hướng</t>
  </si>
  <si>
    <t xml:space="preserve">TC-MI-03</t>
  </si>
  <si>
    <t xml:space="preserve">Sát thương mũi tên bằng tổng sát thương</t>
  </si>
  <si>
    <t xml:space="preserve">Miya có Kiếm tai ương (+8)</t>
  </si>
  <si>
    <t xml:space="preserve">1. Bắn trúng quái</t>
  </si>
  <si>
    <t xml:space="preserve">2 + 8</t>
  </si>
  <si>
    <t xml:space="preserve">Quái nhận 10 sát thương</t>
  </si>
  <si>
    <t xml:space="preserve">TC-MI-04</t>
  </si>
  <si>
    <t xml:space="preserve">Mũi tên tự hủy sau 2 giây</t>
  </si>
  <si>
    <t xml:space="preserve">Bắn vào khoảng trống rộng</t>
  </si>
  <si>
    <t xml:space="preserve">1. Bắn tên ra xa</t>
  </si>
  <si>
    <t xml:space="preserve">Tốc độ 300, sống 2s</t>
  </si>
  <si>
    <t xml:space="preserve">Mũi tên biến mất sau 2 giây</t>
  </si>
  <si>
    <t xml:space="preserve">TC-MI-05</t>
  </si>
  <si>
    <t xml:space="preserve">Mũi tên biến mất khi trúng tường</t>
  </si>
  <si>
    <t xml:space="preserve">1. Bắn vào tường</t>
  </si>
  <si>
    <t xml:space="preserve">Mũi tên biến mất ngay khi chạm tường</t>
  </si>
  <si>
    <t xml:space="preserve">TC-MI-06</t>
  </si>
  <si>
    <t xml:space="preserve">Mũi tên không gây sát thương cho Miya</t>
  </si>
  <si>
    <t xml:space="preserve">1. Bắn sát tường để tên bắn lên bản thân</t>
  </si>
  <si>
    <t xml:space="preserve">Mũi tên bỏ qua người chơi</t>
  </si>
  <si>
    <t xml:space="preserve">TC-MI-07</t>
  </si>
  <si>
    <t xml:space="preserve">Ném bom tới vị trí chuột</t>
  </si>
  <si>
    <t xml:space="preserve">1. Đặt chuột ở vị trí A
2. Nhấn Q</t>
  </si>
  <si>
    <t xml:space="preserve">Sát thương bom = 3 x tổng sát thương</t>
  </si>
  <si>
    <t xml:space="preserve">Bom bay tới A trong 0.4s, chờ 0.5s rồi nổ; quái trong vùng nổ nhận 6 sát thương</t>
  </si>
  <si>
    <t xml:space="preserve">TC-MI-08</t>
  </si>
  <si>
    <t xml:space="preserve">Bom không gây sát thương cho người chơi</t>
  </si>
  <si>
    <t xml:space="preserve">Miya đứng trong vùng nổ</t>
  </si>
  <si>
    <t xml:space="preserve">1. Ném bom dưới chân</t>
  </si>
  <si>
    <t xml:space="preserve">Miya không mất máu/giáp</t>
  </si>
  <si>
    <t xml:space="preserve">TC-MI-09</t>
  </si>
  <si>
    <t xml:space="preserve">Bom gây sát thương diện rộng</t>
  </si>
  <si>
    <t xml:space="preserve">3 quái đứng cạnh nhau</t>
  </si>
  <si>
    <t xml:space="preserve">1. Ném bom vào giữa nhóm</t>
  </si>
  <si>
    <t xml:space="preserve">Cả 3 quái trong vùng nổ cùng nhận sát thương</t>
  </si>
  <si>
    <t xml:space="preserve">TC-MI-10</t>
  </si>
  <si>
    <t xml:space="preserve">1. Nhấn Q hai lần cách nhau 2 giây</t>
  </si>
  <si>
    <t xml:space="preserve">Lần 2 không ném bom</t>
  </si>
  <si>
    <t xml:space="preserve">TC-CL-01</t>
  </si>
  <si>
    <t xml:space="preserve">Chỉ số khởi đầu của Charlotte</t>
  </si>
  <si>
    <t xml:space="preserve">Chọn Charlotte</t>
  </si>
  <si>
    <t xml:space="preserve">Tốc độ 180, Máu 5, Giáp 0 (HUD không có icon giáp), Sát thương 2</t>
  </si>
  <si>
    <t xml:space="preserve">TC-CL-02</t>
  </si>
  <si>
    <t xml:space="preserve">Chém 3 nhịp tại chỗ</t>
  </si>
  <si>
    <t xml:space="preserve">Charlotte, quái gần</t>
  </si>
  <si>
    <t xml:space="preserve">3 nhịp, mỗi nhịp 0.1s bật hitbox</t>
  </si>
  <si>
    <t xml:space="preserve">Nhân vật đứng yên, chém 3 lần liên tiếp; quái trúng nhận sát thương theo từng nhịp</t>
  </si>
  <si>
    <t xml:space="preserve">TC-CL-03</t>
  </si>
  <si>
    <t xml:space="preserve">Cooldown Q 3 giây</t>
  </si>
  <si>
    <t xml:space="preserve">1. Nhấn Q
2. Nhấn Q lại sau 1.5 giây
3. Nhấn Q lại sau 3 giây</t>
  </si>
  <si>
    <t xml:space="preserve">Cooldown 3.0s</t>
  </si>
  <si>
    <t xml:space="preserve">Lần 2 bị từ chối, lần 3 thành công</t>
  </si>
  <si>
    <t xml:space="preserve">TC-CL-04</t>
  </si>
  <si>
    <t xml:space="preserve">Kỹ năng chuột phải</t>
  </si>
  <si>
    <t xml:space="preserve">Lướt 400 và đâm 4 nhịp</t>
  </si>
  <si>
    <t xml:space="preserve">Charlotte, quái phía trước</t>
  </si>
  <si>
    <t xml:space="preserve">1. Hướng chuột về quái
2. Nhấn chuột phải</t>
  </si>
  <si>
    <t xml:space="preserve">Tốc độ lướt 400</t>
  </si>
  <si>
    <t xml:space="preserve">Lướt nhanh về phía trước rồi đâm 4 nhịp</t>
  </si>
  <si>
    <t xml:space="preserve">TC-CL-05</t>
  </si>
  <si>
    <t xml:space="preserve">I-Frames trong lúc lướt</t>
  </si>
  <si>
    <t xml:space="preserve">Quái đang đánh</t>
  </si>
  <si>
    <t xml:space="preserve">1. Nhấn chuột phải khi quái sắp đánh trúng</t>
  </si>
  <si>
    <t xml:space="preserve">Không nhận sát thương trong lúc lướt; I-Frames tắt khi kỹ năng kết thúc</t>
  </si>
  <si>
    <t xml:space="preserve">TC-CL-06</t>
  </si>
  <si>
    <t xml:space="preserve">Cooldown chuột phải 5 giây độc lập với Q</t>
  </si>
  <si>
    <t xml:space="preserve">1. Nhấn chuột phải
2. Nhấn Q ngay sau đó
3. Nhấn chuột phải lại sau 3 giây</t>
  </si>
  <si>
    <t xml:space="preserve">Q 3s, RMB 5s</t>
  </si>
  <si>
    <t xml:space="preserve">Q dùng được (cooldown riêng); chuột phải lần 2 bị từ chối</t>
  </si>
  <si>
    <t xml:space="preserve">TC-CL-07</t>
  </si>
  <si>
    <t xml:space="preserve">Hủy kỹ năng khi bị đánh</t>
  </si>
  <si>
    <t xml:space="preserve">Charlotte đang chém Q</t>
  </si>
  <si>
    <t xml:space="preserve">1. Để quái đánh trúng giữa kỹ năng</t>
  </si>
  <si>
    <t xml:space="preserve">Kỹ năng bị hủy, không bị đơ trạng thái, hitbox được tắt</t>
  </si>
  <si>
    <t xml:space="preserve">TC-CL-08</t>
  </si>
  <si>
    <t xml:space="preserve">Không kích hoạt khi đang tấn công</t>
  </si>
  <si>
    <t xml:space="preserve">1. Nhấn chuột trái rồi nhấn Q ngay</t>
  </si>
  <si>
    <t xml:space="preserve">Q bị chặn khi is_attacking = true</t>
  </si>
  <si>
    <t xml:space="preserve">TC-IT-01</t>
  </si>
  <si>
    <t xml:space="preserve">Bình máu nhỏ hồi 2 máu</t>
  </si>
  <si>
    <t xml:space="preserve">Pyrois: Máu 2/4</t>
  </si>
  <si>
    <t xml:space="preserve">1. Nhấn phím số của Bình máu nhỏ</t>
  </si>
  <si>
    <t xml:space="preserve">heal 2</t>
  </si>
  <si>
    <t xml:space="preserve">Máu 4/4; bình biến mất khỏi túi</t>
  </si>
  <si>
    <t xml:space="preserve">TC-IT-02</t>
  </si>
  <si>
    <t xml:space="preserve">Hồi máu không vượt Máu tối đa</t>
  </si>
  <si>
    <t xml:space="preserve">Máu 3/4</t>
  </si>
  <si>
    <t xml:space="preserve">1. Dùng Bình máu nhỏ</t>
  </si>
  <si>
    <t xml:space="preserve">Máu 4/4 (không vượt tối đa); bình vẫn bị tiêu hao</t>
  </si>
  <si>
    <t xml:space="preserve">TC-IT-03</t>
  </si>
  <si>
    <t xml:space="preserve">Dùng bình khi đầy máu</t>
  </si>
  <si>
    <t xml:space="preserve">Máu 4/4</t>
  </si>
  <si>
    <t xml:space="preserve">Máu không đổi; ghi nhận hành vi bình vẫn mất khỏi túi</t>
  </si>
  <si>
    <t xml:space="preserve">Cần xác nhận với nhóm đây có phải hành vi mong muốn</t>
  </si>
  <si>
    <t xml:space="preserve">TC-IT-04</t>
  </si>
  <si>
    <t xml:space="preserve">Bình máu lớn hồi 3 và tăng 1 máu tối đa</t>
  </si>
  <si>
    <t xml:space="preserve">Máu 2/4</t>
  </si>
  <si>
    <t xml:space="preserve">1. Dùng Bình máu lớn</t>
  </si>
  <si>
    <t xml:space="preserve">heal 3, max_hp_bonus 1</t>
  </si>
  <si>
    <t xml:space="preserve">Máu tối đa 5; máu = 2 + 1 + 3 = 6 bị giới hạn ở 5 → 5/5; HUD hiện 5 tim</t>
  </si>
  <si>
    <t xml:space="preserve">Tính: Máu tối đa 4+1 = 5; hồi 3 từ 3 máu lên tối đa 5</t>
  </si>
  <si>
    <t xml:space="preserve">TC-IT-05</t>
  </si>
  <si>
    <t xml:space="preserve">Tăng Máu tối đa từ bình là vĩnh viễn</t>
  </si>
  <si>
    <t xml:space="preserve">Đã dùng Bình máu lớn</t>
  </si>
  <si>
    <t xml:space="preserve">1. Trang bị rồi tháo Giáp cốt</t>
  </si>
  <si>
    <t xml:space="preserve">Máu tối đa không bị mất phần cộng từ bình</t>
  </si>
  <si>
    <t xml:space="preserve">TC-IT-06</t>
  </si>
  <si>
    <t xml:space="preserve">Mũ sắt +1 giáp</t>
  </si>
  <si>
    <t xml:space="preserve">Pyrois có Mũ sắt</t>
  </si>
  <si>
    <t xml:space="preserve">1. Trang bị Mũ sắt</t>
  </si>
  <si>
    <t xml:space="preserve">armor 1</t>
  </si>
  <si>
    <t xml:space="preserve">Giáp tối đa 5</t>
  </si>
  <si>
    <t xml:space="preserve">TC-IT-07</t>
  </si>
  <si>
    <t xml:space="preserve">Giáp sắt +2 giáp</t>
  </si>
  <si>
    <t xml:space="preserve">Pyrois có Giáp sắt</t>
  </si>
  <si>
    <t xml:space="preserve">1. Trang bị Giáp sắt</t>
  </si>
  <si>
    <t xml:space="preserve">armor 2</t>
  </si>
  <si>
    <t xml:space="preserve">Giáp tối đa 6</t>
  </si>
  <si>
    <t xml:space="preserve">TC-IT-08</t>
  </si>
  <si>
    <t xml:space="preserve">Giáp cốt: +3 giáp, +2 máu tối đa</t>
  </si>
  <si>
    <t xml:space="preserve">Pyrois có Giáp cốt</t>
  </si>
  <si>
    <t xml:space="preserve">1. Trang bị Giáp cốt</t>
  </si>
  <si>
    <t xml:space="preserve">armor 3, max_hp +2</t>
  </si>
  <si>
    <t xml:space="preserve">Giáp tối đa 7, Máu tối đa 6, Máu hiện tại tăng 2</t>
  </si>
  <si>
    <t xml:space="preserve">TC-IT-09</t>
  </si>
  <si>
    <t xml:space="preserve">Kiếm sắt +1 sát thương</t>
  </si>
  <si>
    <t xml:space="preserve">Pyrois có Kiếm sắt</t>
  </si>
  <si>
    <t xml:space="preserve">1. Trang bị Kiếm sắt
2. Chém Orc (3 máu)</t>
  </si>
  <si>
    <t xml:space="preserve">damage 1</t>
  </si>
  <si>
    <t xml:space="preserve">Sát thương mỗi đòn = 2</t>
  </si>
  <si>
    <t xml:space="preserve">TC-IT-10</t>
  </si>
  <si>
    <t xml:space="preserve">Kiếm tai ương: +8 sát thương, +1 giáp</t>
  </si>
  <si>
    <t xml:space="preserve">Pyrois có Kiếm tai ương</t>
  </si>
  <si>
    <t xml:space="preserve">1. Trang bị
2. Chém quái</t>
  </si>
  <si>
    <t xml:space="preserve">damage 8, armor 1</t>
  </si>
  <si>
    <t xml:space="preserve">Sát thương mỗi đòn = 1 + 8 = 9; Giáp tối đa 5 (4 + 1)</t>
  </si>
  <si>
    <t xml:space="preserve">Mô tả vật phẩm ghi '+1 DMG +1 Giáp' nhưng dữ liệu damage = 8: lệch mô tả</t>
  </si>
  <si>
    <t xml:space="preserve">TC-IT-11</t>
  </si>
  <si>
    <t xml:space="preserve">Bình máu lớn hiển thị tên trong tooltip</t>
  </si>
  <si>
    <t xml:space="preserve">Có Bình máu lớn trong hotbar</t>
  </si>
  <si>
    <t xml:space="preserve">1. Rê chuột vào ô hotbar</t>
  </si>
  <si>
    <t xml:space="preserve">Tooltip hiển thị tên + mô tả vật phẩm</t>
  </si>
  <si>
    <t xml:space="preserve">Giao diện</t>
  </si>
  <si>
    <t xml:space="preserve">big_health_potion.tres không có item_name (giá trị mặc định 'Vật phẩm mới')</t>
  </si>
  <si>
    <t xml:space="preserve">TC-IV-01</t>
  </si>
  <si>
    <t xml:space="preserve">Túi đồ</t>
  </si>
  <si>
    <t xml:space="preserve">Túi đồ khởi tạo có 3 vật phẩm thử</t>
  </si>
  <si>
    <t xml:space="preserve">Vào game bất kỳ nhân vật</t>
  </si>
  <si>
    <t xml:space="preserve">1. Quan sát hotbar</t>
  </si>
  <si>
    <t xml:space="preserve">Hotbar có Bình máu nhỏ, Giáp cốt, Kiếm tai ương ở ô 1-3 (do code thử trong player.gd)</t>
  </si>
  <si>
    <t xml:space="preserve">Kiểm tra có chủ ý hay là code debug cần xóa trước khi phát hành</t>
  </si>
  <si>
    <t xml:space="preserve">TC-IV-02</t>
  </si>
  <si>
    <t xml:space="preserve">Trang bị</t>
  </si>
  <si>
    <t xml:space="preserve">Dùng phím số trang bị Giáp</t>
  </si>
  <si>
    <t xml:space="preserve">Giáp cốt ở ô 2</t>
  </si>
  <si>
    <t xml:space="preserve">1. Nhấn phím 2</t>
  </si>
  <si>
    <t xml:space="preserve">Giáp cốt chuyển vào ô trang bị, rời khỏi túi; HUD cập nhật</t>
  </si>
  <si>
    <t xml:space="preserve">TC-IV-03</t>
  </si>
  <si>
    <t xml:space="preserve">Vị trí vật phẩm dồn lên sau khi trang bị</t>
  </si>
  <si>
    <t xml:space="preserve">Túi: [Bình, Giáp cốt, Kiếm]</t>
  </si>
  <si>
    <t xml:space="preserve">1. Nhấn phím 2 (trang bị giáp)
2. Quan sát ô 2</t>
  </si>
  <si>
    <t xml:space="preserve">Túi còn [Bình, Kiếm]; Kiếm nằm ở ô 2</t>
  </si>
  <si>
    <t xml:space="preserve">TC-IV-04</t>
  </si>
  <si>
    <t xml:space="preserve">Click ô hotbar để dùng/trang bị</t>
  </si>
  <si>
    <t xml:space="preserve">1. Click chuột vào ô hotbar có Giáp cốt</t>
  </si>
  <si>
    <t xml:space="preserve">Giống nhấn phím số tương ứng</t>
  </si>
  <si>
    <t xml:space="preserve">TC-IV-05</t>
  </si>
  <si>
    <t xml:space="preserve">Đổi trang bị cùng loại</t>
  </si>
  <si>
    <t xml:space="preserve">Đang mặc Giáp sắt, trong túi có Giáp cốt</t>
  </si>
  <si>
    <t xml:space="preserve">1. Nhấn phím số của Giáp cốt</t>
  </si>
  <si>
    <t xml:space="preserve">Giáp sắt trở lại túi đúng vị trí ô vừa dùng; Giáp cốt được mặc</t>
  </si>
  <si>
    <t xml:space="preserve">TC-IV-06</t>
  </si>
  <si>
    <t xml:space="preserve">Tổng giáp cộng dồn Mũ + Giáp</t>
  </si>
  <si>
    <t xml:space="preserve">Có Mũ sắt và Giáp sắt</t>
  </si>
  <si>
    <t xml:space="preserve">1. Trang bị cả hai</t>
  </si>
  <si>
    <t xml:space="preserve">1 + 2</t>
  </si>
  <si>
    <t xml:space="preserve">Giáp tối đa = 4 + 1 + 2 = 7</t>
  </si>
  <si>
    <t xml:space="preserve">TC-IV-07</t>
  </si>
  <si>
    <t xml:space="preserve">Phím số ô trống</t>
  </si>
  <si>
    <t xml:space="preserve">Túi có 2 vật phẩm</t>
  </si>
  <si>
    <t xml:space="preserve">1. Nhấn phím 5</t>
  </si>
  <si>
    <t xml:space="preserve">Không có gì xảy ra, không lỗi (log ô trống)</t>
  </si>
  <si>
    <t xml:space="preserve">TC-IV-08</t>
  </si>
  <si>
    <t xml:space="preserve">Tháo trang bị cất vào túi</t>
  </si>
  <si>
    <t xml:space="preserve">Đang mặc Giáp cốt</t>
  </si>
  <si>
    <t xml:space="preserve">1. Gọi unequip_item(ARMOR)</t>
  </si>
  <si>
    <t xml:space="preserve">Giáp cốt vào túi; Máu/Giáp tối đa giảm về ban đầu; máu hiện tại không vượt tối đa</t>
  </si>
  <si>
    <t xml:space="preserve">Hàm unequip_item tồn tại nhưng chưa có UI ô trang bị nào gọi tới trong repo</t>
  </si>
  <si>
    <t xml:space="preserve">TC-IV-09</t>
  </si>
  <si>
    <t xml:space="preserve">Tháo trang bị khi túi đầy</t>
  </si>
  <si>
    <t xml:space="preserve">Túi đầy 16 ô, đang mặc Giáp</t>
  </si>
  <si>
    <t xml:space="preserve">1. Gọi unequip_item</t>
  </si>
  <si>
    <t xml:space="preserve">Không tháo; thông báo túi đầy; trang bị giữ nguyên</t>
  </si>
  <si>
    <t xml:space="preserve">TC-IV-10</t>
  </si>
  <si>
    <t xml:space="preserve">Nhặt đồ khi túi đầy</t>
  </si>
  <si>
    <t xml:space="preserve">Túi có 16 vật phẩm</t>
  </si>
  <si>
    <t xml:space="preserve">1. Nhấn E nhặt vật phẩm dưới đất</t>
  </si>
  <si>
    <t xml:space="preserve">Không nhặt; vật phẩm còn trên đất</t>
  </si>
  <si>
    <t xml:space="preserve">TC-IV-11</t>
  </si>
  <si>
    <t xml:space="preserve">Dùng vật phẩm ở ô 10-16</t>
  </si>
  <si>
    <t xml:space="preserve">Túi có 12 vật phẩm</t>
  </si>
  <si>
    <t xml:space="preserve">1. Thử dùng vật phẩm thứ 10-12</t>
  </si>
  <si>
    <t xml:space="preserve">Hotbar chỉ có 9 ô, phím 1-9: kiểm tra có cách dùng vật phẩm 10-16 hay không</t>
  </si>
  <si>
    <t xml:space="preserve">Có thể là lỗi thiết kế: vật phẩm ô 10-16 không có đường dùng</t>
  </si>
  <si>
    <t xml:space="preserve">TC-IV-12</t>
  </si>
  <si>
    <t xml:space="preserve">Chỉ số chạm đáy khi đổi trang bị thấp hơn</t>
  </si>
  <si>
    <t xml:space="preserve">Giáp 7/7 đang đầy</t>
  </si>
  <si>
    <t xml:space="preserve">1. Tháo Giáp cốt</t>
  </si>
  <si>
    <t xml:space="preserve">Giáp hiện tại bị giới hạn xuống mức tối đa mới (4)</t>
  </si>
  <si>
    <t xml:space="preserve">TC-CH-01</t>
  </si>
  <si>
    <t xml:space="preserve">Rương</t>
  </si>
  <si>
    <t xml:space="preserve">Rương mở khi người chơi lại gần</t>
  </si>
  <si>
    <t xml:space="preserve">Phòng kho báu</t>
  </si>
  <si>
    <t xml:space="preserve">1. Đi vào vùng rương</t>
  </si>
  <si>
    <t xml:space="preserve">drop 0.8</t>
  </si>
  <si>
    <t xml:space="preserve">Rương phát hoạt ảnh open; vật phẩm văng ra cách rương 20 px phía dưới</t>
  </si>
  <si>
    <t xml:space="preserve">TC-CH-02</t>
  </si>
  <si>
    <t xml:space="preserve">Rương chỉ mở một lần</t>
  </si>
  <si>
    <t xml:space="preserve">Rương đã mở</t>
  </si>
  <si>
    <t xml:space="preserve">1. Rời đi rồi quay lại</t>
  </si>
  <si>
    <t xml:space="preserve">Không rớt thêm vật phẩm; vùng va chạm đã bị tắt</t>
  </si>
  <si>
    <t xml:space="preserve">TC-CH-03</t>
  </si>
  <si>
    <t xml:space="preserve">Tỷ lệ rớt đồ của rương 80%</t>
  </si>
  <si>
    <t xml:space="preserve">Nhiều rương (mở ít nhất 20 rương/20 ván)</t>
  </si>
  <si>
    <t xml:space="preserve">1. Mở nhiều rương, đếm số lần rớt đồ</t>
  </si>
  <si>
    <t xml:space="preserve">drop_chance 0.8</t>
  </si>
  <si>
    <t xml:space="preserve">Xấp xỉ 80% rương có vật phẩm</t>
  </si>
  <si>
    <t xml:space="preserve">Chạy 20+ lần để kiểm tra thống kê</t>
  </si>
  <si>
    <t xml:space="preserve">TC-CH-04</t>
  </si>
  <si>
    <t xml:space="preserve">Nhặt đồ</t>
  </si>
  <si>
    <t xml:space="preserve">Vật phẩm phát sáng khi lại gần</t>
  </si>
  <si>
    <t xml:space="preserve">Có vật phẩm trên đất</t>
  </si>
  <si>
    <t xml:space="preserve">1. Đi lại gần vật phẩm</t>
  </si>
  <si>
    <t xml:space="preserve">Sprite sáng lên; khi đi xa trở về bình thường</t>
  </si>
  <si>
    <t xml:space="preserve">TC-CH-05</t>
  </si>
  <si>
    <t xml:space="preserve">Nhấn E nhặt vật phẩm</t>
  </si>
  <si>
    <t xml:space="preserve">Đứng gần vật phẩm</t>
  </si>
  <si>
    <t xml:space="preserve">1. Nhấn E</t>
  </si>
  <si>
    <t xml:space="preserve">Vật phẩm vào túi và biến mất khỏi đất</t>
  </si>
  <si>
    <t xml:space="preserve">TC-CH-06</t>
  </si>
  <si>
    <t xml:space="preserve">Nhấn E khi ở xa vật phẩm</t>
  </si>
  <si>
    <t xml:space="preserve">Đứng xa vật phẩm</t>
  </si>
  <si>
    <t xml:space="preserve">Không nhặt được</t>
  </si>
  <si>
    <t xml:space="preserve">TC-CH-07</t>
  </si>
  <si>
    <t xml:space="preserve">Hai vật phẩm cạnh nhau, nhấn E một lần</t>
  </si>
  <si>
    <t xml:space="preserve">Đứng gần 2 vật phẩm</t>
  </si>
  <si>
    <t xml:space="preserve">1. Nhấn E một lần</t>
  </si>
  <si>
    <t xml:space="preserve">Ghi nhận hành vi: cả hai có thể được nhặt cùng lúc vì cùng nghe phím E</t>
  </si>
  <si>
    <t xml:space="preserve">TC-CH-08</t>
  </si>
  <si>
    <t xml:space="preserve">Quái rớt đồ</t>
  </si>
  <si>
    <t xml:space="preserve">Quái thường rớt đồ 30%</t>
  </si>
  <si>
    <t xml:space="preserve">Giết ≥ 20 Orc</t>
  </si>
  <si>
    <t xml:space="preserve">1. Giết nhiều Orc và đếm số lần rớt</t>
  </si>
  <si>
    <t xml:space="preserve">drop 0.3</t>
  </si>
  <si>
    <t xml:space="preserve">Xấp xỉ 30% có vật phẩm rớt đúng vị trí quái chết</t>
  </si>
  <si>
    <t xml:space="preserve">TC-UI-01</t>
  </si>
  <si>
    <t xml:space="preserve">HUD</t>
  </si>
  <si>
    <t xml:space="preserve">HUD hiển thị tim và giáp đúng chỉ số</t>
  </si>
  <si>
    <t xml:space="preserve">1. Vào game, so sánh HUD với chỉ số nhân vật</t>
  </si>
  <si>
    <t xml:space="preserve">Số tim = Máu tối đa, tim đầy = Máu hiện tại; số khiên = Giáp tối đa</t>
  </si>
  <si>
    <t xml:space="preserve">TC-UI-02</t>
  </si>
  <si>
    <t xml:space="preserve">HUD cập nhật khi bị đánh</t>
  </si>
  <si>
    <t xml:space="preserve">1. Nhận sát thương</t>
  </si>
  <si>
    <t xml:space="preserve">Khiên/tim đầy chuyển sang icon rỗng ngay lập tức</t>
  </si>
  <si>
    <t xml:space="preserve">TC-UI-03</t>
  </si>
  <si>
    <t xml:space="preserve">HUD cập nhật khi giáp hồi</t>
  </si>
  <si>
    <t xml:space="preserve">1. Chờ giáp hồi</t>
  </si>
  <si>
    <t xml:space="preserve">Khiên đầy dần mỗi giây</t>
  </si>
  <si>
    <t xml:space="preserve">TC-UI-04</t>
  </si>
  <si>
    <t xml:space="preserve">HUD cập nhật khi mặc/tháo đồ</t>
  </si>
  <si>
    <t xml:space="preserve">Số tim/khiên tăng theo chỉ số mới</t>
  </si>
  <si>
    <t xml:space="preserve">TC-UI-05</t>
  </si>
  <si>
    <t xml:space="preserve">Hotbar</t>
  </si>
  <si>
    <t xml:space="preserve">Hotbar có 9 ô và hiển thị icon</t>
  </si>
  <si>
    <t xml:space="preserve">Túi có 3 vật phẩm</t>
  </si>
  <si>
    <t xml:space="preserve">9 ô, 3 ô đầu có icon, 6 ô còn lại trống</t>
  </si>
  <si>
    <t xml:space="preserve">TC-UI-06</t>
  </si>
  <si>
    <t xml:space="preserve">Tooltip hiển thị tên và mô tả</t>
  </si>
  <si>
    <t xml:space="preserve">1. Rê chuột vào ô có vật phẩm</t>
  </si>
  <si>
    <t xml:space="preserve">Tooltip: tên + xuống dòng + mô tả</t>
  </si>
  <si>
    <t xml:space="preserve">TC-UI-07</t>
  </si>
  <si>
    <t xml:space="preserve">HUD không lỗi với Máu tối đa lớn</t>
  </si>
  <si>
    <t xml:space="preserve">Máu tối đa 15</t>
  </si>
  <si>
    <t xml:space="preserve">1. Dùng nhiều Bình máu lớn</t>
  </si>
  <si>
    <t xml:space="preserve">Các tim không tràn khỏi màn hình hoặc chồng lấp</t>
  </si>
  <si>
    <t xml:space="preserve">TC-MP-01</t>
  </si>
  <si>
    <t xml:space="preserve">Sinh map</t>
  </si>
  <si>
    <t xml:space="preserve">Số phòng được sinh đúng</t>
  </si>
  <si>
    <t xml:space="preserve">Vào game</t>
  </si>
  <si>
    <t xml:space="preserve">1. Quan sát số phòng (hoặc in ra generated_rooms.size())</t>
  </si>
  <si>
    <t xml:space="preserve">num_rooms mặc định 16</t>
  </si>
  <si>
    <t xml:space="preserve">Có 16 phòng (README ghi 10)</t>
  </si>
  <si>
    <t xml:space="preserve">Lệch README: code mặc định 16 phòng</t>
  </si>
  <si>
    <t xml:space="preserve">TC-MP-02</t>
  </si>
  <si>
    <t xml:space="preserve">Phòng đầu tiên là phòng xuất phát</t>
  </si>
  <si>
    <t xml:space="preserve">1. Quan sát vị trí người chơi lúc bắt đầu</t>
  </si>
  <si>
    <t xml:space="preserve">Nhân vật xuất hiện ở tâm phòng 0, phòng này không có quái/rương/bẫy</t>
  </si>
  <si>
    <t xml:space="preserve">TC-MP-03</t>
  </si>
  <si>
    <t xml:space="preserve">Có đúng 1 phòng Boss ở xa nhất</t>
  </si>
  <si>
    <t xml:space="preserve">1. Đi tới phòng cuối</t>
  </si>
  <si>
    <t xml:space="preserve">Phòng Boss là phòng xa nhất (BFS) từ phòng xuất phát</t>
  </si>
  <si>
    <t xml:space="preserve">TC-MP-04</t>
  </si>
  <si>
    <t xml:space="preserve">Có 2-3 phòng kho báu</t>
  </si>
  <si>
    <t xml:space="preserve">1. Khám phá toàn bộ bản đồ, đếm rương</t>
  </si>
  <si>
    <t xml:space="preserve">Số rương trong khoảng 2 đến 3</t>
  </si>
  <si>
    <t xml:space="preserve">TC-MP-05</t>
  </si>
  <si>
    <t xml:space="preserve">Tất cả phòng đều kết nối</t>
  </si>
  <si>
    <t xml:space="preserve">1. Đi từ phòng xuất phát tới mọi phòng</t>
  </si>
  <si>
    <t xml:space="preserve">Không có phòng bị cô lập, hành lang đủ 5 ô</t>
  </si>
  <si>
    <t xml:space="preserve">TC-MP-06</t>
  </si>
  <si>
    <t xml:space="preserve">Cùng seed cho cùng bản đồ</t>
  </si>
  <si>
    <t xml:space="preserve">map_seed = ALOALO1234</t>
  </si>
  <si>
    <t xml:space="preserve">1. Chạy game 2 lần với tầng 1
2. So sánh bố cục</t>
  </si>
  <si>
    <t xml:space="preserve">Bố cục tầng 1 giống nhau ở cả 2 lần</t>
  </si>
  <si>
    <t xml:space="preserve">TC-MP-07</t>
  </si>
  <si>
    <t xml:space="preserve">Seed khác cho bản đồ khác</t>
  </si>
  <si>
    <t xml:space="preserve">1. Đổi map_seed thành chuỗi khác
2. Chạy lại</t>
  </si>
  <si>
    <t xml:space="preserve">Bố cục khác</t>
  </si>
  <si>
    <t xml:space="preserve">TC-MP-08</t>
  </si>
  <si>
    <t xml:space="preserve">Trang trí</t>
  </si>
  <si>
    <t xml:space="preserve">Cột đá/thùng gỗ không chặn hành lang</t>
  </si>
  <si>
    <t xml:space="preserve">1. Đi qua hành lang giữa các phòng</t>
  </si>
  <si>
    <t xml:space="preserve">Không bị chặn bởi cột/thùng ở hành lang</t>
  </si>
  <si>
    <t xml:space="preserve">TC-MP-09</t>
  </si>
  <si>
    <t xml:space="preserve">Trang trí không đè lên bẫy</t>
  </si>
  <si>
    <t xml:space="preserve">1. Quan sát phòng có bẫy</t>
  </si>
  <si>
    <t xml:space="preserve">Không có cột hay thùng chồng lên vị trí bẫy</t>
  </si>
  <si>
    <t xml:space="preserve">TC-MP-10</t>
  </si>
  <si>
    <t xml:space="preserve">Quái</t>
  </si>
  <si>
    <t xml:space="preserve">Số quái mỗi phòng từ 2 đến 6</t>
  </si>
  <si>
    <t xml:space="preserve">1. Vào từng phòng chiến đấu, đếm quái</t>
  </si>
  <si>
    <t xml:space="preserve">min 2, max 6</t>
  </si>
  <si>
    <t xml:space="preserve">Mỗi phòng 2-6 quái (có thể ít hơn nếu vị trí trùng trang trí)</t>
  </si>
  <si>
    <t xml:space="preserve">TC-MP-11</t>
  </si>
  <si>
    <t xml:space="preserve">Quái không xuất hiện trong tường/vật trang trí</t>
  </si>
  <si>
    <t xml:space="preserve">1. Quan sát vị trí quái trong các phòng</t>
  </si>
  <si>
    <t xml:space="preserve">Quái nằm trên nền sàn, không trong tường</t>
  </si>
  <si>
    <t xml:space="preserve">TC-RM-01</t>
  </si>
  <si>
    <t xml:space="preserve">Khóa cửa</t>
  </si>
  <si>
    <t xml:space="preserve">Khóa cửa khi vào phòng có quái</t>
  </si>
  <si>
    <t xml:space="preserve">Phòng chiến đấu chưa dọn</t>
  </si>
  <si>
    <t xml:space="preserve">1. Bước vào giữa phòng</t>
  </si>
  <si>
    <t xml:space="preserve">Gạch chặn xuất hiện ở mọi lối ra vào; quái được kích hoạt</t>
  </si>
  <si>
    <t xml:space="preserve">TC-RM-02</t>
  </si>
  <si>
    <t xml:space="preserve">Mở cửa khi giết hết quái</t>
  </si>
  <si>
    <t xml:space="preserve">Phòng đang khóa</t>
  </si>
  <si>
    <t xml:space="preserve">1. Tiêu diệt toàn bộ quái</t>
  </si>
  <si>
    <t xml:space="preserve">Cửa tự biến mất sau khi quái cuối biến mất</t>
  </si>
  <si>
    <t xml:space="preserve">TC-RM-03</t>
  </si>
  <si>
    <t xml:space="preserve">Không thể rời phòng khi đang khóa</t>
  </si>
  <si>
    <t xml:space="preserve">1. Cố đi ra ngoài qua lối vào</t>
  </si>
  <si>
    <t xml:space="preserve">Bị chặn bởi gạch cửa</t>
  </si>
  <si>
    <t xml:space="preserve">TC-RM-04</t>
  </si>
  <si>
    <t xml:space="preserve">Phòng đã dọn không khóa lại</t>
  </si>
  <si>
    <t xml:space="preserve">Đã dọn phòng</t>
  </si>
  <si>
    <t xml:space="preserve">1. Rời phòng rồi quay lại</t>
  </si>
  <si>
    <t xml:space="preserve">Cửa không khóa lại, không có quái mới</t>
  </si>
  <si>
    <t xml:space="preserve">TC-RM-05</t>
  </si>
  <si>
    <t xml:space="preserve">Quái chỉ hoạt động sau khi phòng khóa</t>
  </si>
  <si>
    <t xml:space="preserve">Đứng ngoài phòng</t>
  </si>
  <si>
    <t xml:space="preserve">1. Đứng ở cửa phòng và quan sát quái</t>
  </si>
  <si>
    <t xml:space="preserve">Quái không di chuyển, không nhận sát thương trước khi người chơi vào</t>
  </si>
  <si>
    <t xml:space="preserve">TC-RM-06</t>
  </si>
  <si>
    <t xml:space="preserve">Quái chết trước khi vào phòng</t>
  </si>
  <si>
    <t xml:space="preserve">Quái bị bẫy giết hoặc đã chết</t>
  </si>
  <si>
    <t xml:space="preserve">1. Bước vào phòng không còn quái</t>
  </si>
  <si>
    <t xml:space="preserve">Phòng được đánh dấu cleared, không khóa; nếu là phòng Boss thì mở cổng</t>
  </si>
  <si>
    <t xml:space="preserve">TC-RM-07</t>
  </si>
  <si>
    <t xml:space="preserve">Skeleton biến mất sau 1 giây tính vào số quái</t>
  </si>
  <si>
    <t xml:space="preserve">Phòng chỉ còn Skeleton</t>
  </si>
  <si>
    <t xml:space="preserve">1. Giết con Skeleton cuối cùng
2. Quan sát cửa</t>
  </si>
  <si>
    <t xml:space="preserve">Sau khoảng 1 giây Skeleton biến mất, cửa mở</t>
  </si>
  <si>
    <t xml:space="preserve">TC-SP-01</t>
  </si>
  <si>
    <t xml:space="preserve">Bẫy</t>
  </si>
  <si>
    <t xml:space="preserve">Bẫy báo đỏ 0.5 giây trước khi đâm</t>
  </si>
  <si>
    <t xml:space="preserve">Phòng chiến đấu có bẫy</t>
  </si>
  <si>
    <t xml:space="preserve">1. Bước lên bẫy</t>
  </si>
  <si>
    <t xml:space="preserve">Bẫy đổi màu đỏ 0.5 giây rồi gai nhô lên</t>
  </si>
  <si>
    <t xml:space="preserve">TC-SP-02</t>
  </si>
  <si>
    <t xml:space="preserve">Bẫy gây 1 sát thương nếu vẫn đứng trên</t>
  </si>
  <si>
    <t xml:space="preserve">1. Đứng yên trên bẫy 1 giây</t>
  </si>
  <si>
    <t xml:space="preserve">Mất 1 giáp (hoặc 1 máu nếu hết giáp)</t>
  </si>
  <si>
    <t xml:space="preserve">TC-SP-03</t>
  </si>
  <si>
    <t xml:space="preserve">Né bẫy trong 0.5 giây thì không bị thương</t>
  </si>
  <si>
    <t xml:space="preserve">1. Bước lên bẫy rồi chạy ra ngay</t>
  </si>
  <si>
    <t xml:space="preserve">Không nhận sát thương</t>
  </si>
  <si>
    <t xml:space="preserve">TC-SP-04</t>
  </si>
  <si>
    <t xml:space="preserve">Bẫy reset sau 1 giây</t>
  </si>
  <si>
    <t xml:space="preserve">1. Kích hoạt bẫy
2. Chờ 1.5 giây
3. Bước lên bẫy lần nữa</t>
  </si>
  <si>
    <t xml:space="preserve">Bẫy trở lại trạng thái idle, kích hoạt lại được</t>
  </si>
  <si>
    <t xml:space="preserve">TC-SP-05</t>
  </si>
  <si>
    <t xml:space="preserve">Bẫy gây sát thương cho quái</t>
  </si>
  <si>
    <t xml:space="preserve">Quái đi qua bẫy</t>
  </si>
  <si>
    <t xml:space="preserve">1. Dụ quái đứng trên bẫy</t>
  </si>
  <si>
    <t xml:space="preserve">Quái nhận 1 sát thương</t>
  </si>
  <si>
    <t xml:space="preserve">TC-SP-06</t>
  </si>
  <si>
    <t xml:space="preserve">I-Frames chặn sát thương bẫy</t>
  </si>
  <si>
    <t xml:space="preserve">Charlotte lướt qua bẫy</t>
  </si>
  <si>
    <t xml:space="preserve">1. Dùng chuột phải lướt qua bẫy khi gai nhô lên</t>
  </si>
  <si>
    <t xml:space="preserve">TC-SP-07</t>
  </si>
  <si>
    <t xml:space="preserve">Bẫy chỉ xuất hiện trong phòng chiến đấu</t>
  </si>
  <si>
    <t xml:space="preserve">1. Kiểm tra các phòng Start, Treasure, Boss</t>
  </si>
  <si>
    <t xml:space="preserve">Không có bẫy trong phòng xuất phát, kho báu, Boss</t>
  </si>
  <si>
    <t xml:space="preserve">TC-PT-01</t>
  </si>
  <si>
    <t xml:space="preserve">Cổng</t>
  </si>
  <si>
    <t xml:space="preserve">Cổng xuất hiện sau khi hạ Boss</t>
  </si>
  <si>
    <t xml:space="preserve">Phòng Boss đang khóa</t>
  </si>
  <si>
    <t xml:space="preserve">1. Hạ Boss</t>
  </si>
  <si>
    <t xml:space="preserve">Cổng dịch chuyển xuất hiện ở tâm phòng Boss</t>
  </si>
  <si>
    <t xml:space="preserve">TC-PT-02</t>
  </si>
  <si>
    <t xml:space="preserve">Cổng không xuất hiện khi Boss còn sống</t>
  </si>
  <si>
    <t xml:space="preserve">1. Quan sát phòng Boss khi đang đánh</t>
  </si>
  <si>
    <t xml:space="preserve">Không có cổng</t>
  </si>
  <si>
    <t xml:space="preserve">TC-PT-03</t>
  </si>
  <si>
    <t xml:space="preserve">Bước vào cổng qua tầng mới</t>
  </si>
  <si>
    <t xml:space="preserve">Cổng đã xuất hiện</t>
  </si>
  <si>
    <t xml:space="preserve">1. Bước vào cổng</t>
  </si>
  <si>
    <t xml:space="preserve">Tầng +1; bản đồ được tạo mới, nhân vật về phòng xuất phát, cũ bị xóa</t>
  </si>
  <si>
    <t xml:space="preserve">TC-PT-04</t>
  </si>
  <si>
    <t xml:space="preserve">Chỉ số nhân vật giữ nguyên qua tầng</t>
  </si>
  <si>
    <t xml:space="preserve">Đã trang bị đồ, giáp và máu thay đổi</t>
  </si>
  <si>
    <t xml:space="preserve">1. Qua tầng</t>
  </si>
  <si>
    <t xml:space="preserve">Nhân vật, túi đồ, trang bị giữ nguyên</t>
  </si>
  <si>
    <t xml:space="preserve">TC-PT-05</t>
  </si>
  <si>
    <t xml:space="preserve">Bản đồ tầng mới khác tầng cũ</t>
  </si>
  <si>
    <t xml:space="preserve">1. Qua tầng 2 và quan sát bố cục</t>
  </si>
  <si>
    <t xml:space="preserve">seed = map_seed + _ + level</t>
  </si>
  <si>
    <t xml:space="preserve">Bố cục khác tầng 1</t>
  </si>
  <si>
    <t xml:space="preserve">TC-PT-06</t>
  </si>
  <si>
    <t xml:space="preserve">Boss luân phiên theo tầng</t>
  </si>
  <si>
    <t xml:space="preserve">1. Quan sát Boss tầng 1, 2, 3</t>
  </si>
  <si>
    <t xml:space="preserve">Tầng lẻ: Necromancer; tầng chẵn: Orc Rider</t>
  </si>
  <si>
    <t xml:space="preserve">README nhắc Kitsune nhưng repo không có Kitsune</t>
  </si>
  <si>
    <t xml:space="preserve">TC-PT-07</t>
  </si>
  <si>
    <t xml:space="preserve">Không còn quái/đạn/bẫy của tầng cũ</t>
  </si>
  <si>
    <t xml:space="preserve">Các node tầng cũ bị xóa, không còn đạn, vật phẩm cũ</t>
  </si>
  <si>
    <t xml:space="preserve">TC-PT-08</t>
  </si>
  <si>
    <t xml:space="preserve">Qua nhiều tầng liên tiếp</t>
  </si>
  <si>
    <t xml:space="preserve">1. Qua 5 tầng liên tiếp (có thể giảm máu Boss)</t>
  </si>
  <si>
    <t xml:space="preserve">Không lỗi, không rò rỉ bộ nhớ, tầng tăng đúng</t>
  </si>
  <si>
    <t xml:space="preserve">TC-EN-01</t>
  </si>
  <si>
    <t xml:space="preserve">Orc</t>
  </si>
  <si>
    <t xml:space="preserve">Orc: chỉ số cơ bản</t>
  </si>
  <si>
    <t xml:space="preserve">Phòng có Orc, đã khóa</t>
  </si>
  <si>
    <t xml:space="preserve">1. Quan sát tốc độ, chém Orc</t>
  </si>
  <si>
    <t xml:space="preserve">HP 3, speed 70, range 35</t>
  </si>
  <si>
    <t xml:space="preserve">Orc chết sau tổng sát thương 3; đuổi theo và vung rìu khi cách ≤ 35 px</t>
  </si>
  <si>
    <t xml:space="preserve">TC-EN-02</t>
  </si>
  <si>
    <t xml:space="preserve">Orc gây sát thương cận chiến</t>
  </si>
  <si>
    <t xml:space="preserve">1. Để Orc đánh trúng</t>
  </si>
  <si>
    <t xml:space="preserve">Người chơi nhận sát thương (giáp trước)</t>
  </si>
  <si>
    <t xml:space="preserve">TC-EN-03</t>
  </si>
  <si>
    <t xml:space="preserve">Armored Orc</t>
  </si>
  <si>
    <t xml:space="preserve">Giáp của Armored Orc hấp thụ sát thương</t>
  </si>
  <si>
    <t xml:space="preserve">Armored Orc, giáp 5, máu 3</t>
  </si>
  <si>
    <t xml:space="preserve">1. Chém 2 lần (1 sát thương mỗi lần)</t>
  </si>
  <si>
    <t xml:space="preserve">armor 5</t>
  </si>
  <si>
    <t xml:space="preserve">Giáp còn 3, máu giữ nguyên, phát animation block</t>
  </si>
  <si>
    <t xml:space="preserve">TC-EN-04</t>
  </si>
  <si>
    <t xml:space="preserve">Sát thương tràn khi vỡ giáp</t>
  </si>
  <si>
    <t xml:space="preserve">Giáp còn 1</t>
  </si>
  <si>
    <t xml:space="preserve">1. Chém với sát thương 3</t>
  </si>
  <si>
    <t xml:space="preserve">Giáp = 0, máu mất 2</t>
  </si>
  <si>
    <t xml:space="preserve">TC-EN-05</t>
  </si>
  <si>
    <t xml:space="preserve">Rage damage sau khi vỡ giáp</t>
  </si>
  <si>
    <t xml:space="preserve">Giáp = 0</t>
  </si>
  <si>
    <t xml:space="preserve">1. Để Armored Orc đánh trúng</t>
  </si>
  <si>
    <t xml:space="preserve">normal 1, rage 3</t>
  </si>
  <si>
    <t xml:space="preserve">Sát thương gây ra = 3 (đòn thường chỉ 1 khi còn giáp)</t>
  </si>
  <si>
    <t xml:space="preserve">TC-EN-06</t>
  </si>
  <si>
    <t xml:space="preserve">Skeleton</t>
  </si>
  <si>
    <t xml:space="preserve">Skeleton nhanh và ít máu</t>
  </si>
  <si>
    <t xml:space="preserve">1. Quan sát tốc độ, chém Skeleton</t>
  </si>
  <si>
    <t xml:space="preserve">HP 2, speed 100</t>
  </si>
  <si>
    <t xml:space="preserve">Chết sau tổng 2 sát thương; biến mất sau 1 giây</t>
  </si>
  <si>
    <t xml:space="preserve">TC-EN-07</t>
  </si>
  <si>
    <t xml:space="preserve">Skeleton Archer</t>
  </si>
  <si>
    <t xml:space="preserve">Archer giữ khoảng cách</t>
  </si>
  <si>
    <t xml:space="preserve">Archer vs Player</t>
  </si>
  <si>
    <t xml:space="preserve">1. Đến gần &lt; 90 px
2. Ra xa &gt; 200 px</t>
  </si>
  <si>
    <t xml:space="preserve">range 200, retreat 90</t>
  </si>
  <si>
    <t xml:space="preserve">Lùi khi &lt; 90, đứng bắn khi 90-200, tiến lại khi &gt; 200</t>
  </si>
  <si>
    <t xml:space="preserve">TC-EN-08</t>
  </si>
  <si>
    <t xml:space="preserve">Archer bắn mỗi 2 giây</t>
  </si>
  <si>
    <t xml:space="preserve">1. Đứng trong tầm 100-200 px, đo thời gian giữa các mũi tên</t>
  </si>
  <si>
    <t xml:space="preserve">cooldown 2.0, damage 1</t>
  </si>
  <si>
    <t xml:space="preserve">Một mũi tên mỗi ~2 giây, 1 sát thương</t>
  </si>
  <si>
    <t xml:space="preserve">TC-EN-09</t>
  </si>
  <si>
    <t xml:space="preserve">Vampire</t>
  </si>
  <si>
    <t xml:space="preserve">Vampire chậm, nhiều máu</t>
  </si>
  <si>
    <t xml:space="preserve">1. Chém Vampire</t>
  </si>
  <si>
    <t xml:space="preserve">HP 4, speed 60, range 40</t>
  </si>
  <si>
    <t xml:space="preserve">Chết sau tổng 4 sát thương</t>
  </si>
  <si>
    <t xml:space="preserve">TC-EN-10</t>
  </si>
  <si>
    <t xml:space="preserve">Quái chết ngừng hành động</t>
  </si>
  <si>
    <t xml:space="preserve">Quái vừa chết</t>
  </si>
  <si>
    <t xml:space="preserve">1. Đứng cạnh xác quái</t>
  </si>
  <si>
    <t xml:space="preserve">Không còn gây sát thương; hitbox bị tắt</t>
  </si>
  <si>
    <t xml:space="preserve">TC-EN-11</t>
  </si>
  <si>
    <t xml:space="preserve">Nhiều quái cùng tấn công</t>
  </si>
  <si>
    <t xml:space="preserve">4 quái trong phòng</t>
  </si>
  <si>
    <t xml:space="preserve">1. Đứng giữa phòng</t>
  </si>
  <si>
    <t xml:space="preserve">Sát thương được xử lý đúng nhờ I-Frames, không crash</t>
  </si>
  <si>
    <t xml:space="preserve">TC-EN-12</t>
  </si>
  <si>
    <t xml:space="preserve">Blood Monster</t>
  </si>
  <si>
    <t xml:space="preserve">Blood Monster theo README</t>
  </si>
  <si>
    <t xml:space="preserve">1. Tìm Blood Monster trong game</t>
  </si>
  <si>
    <t xml:space="preserve">HP 3, speed 80, tầm 180</t>
  </si>
  <si>
    <t xml:space="preserve">Không thấy trong game: file/scene không tồn tại và không có trong danh sách quái của dungeon_generator</t>
  </si>
  <si>
    <t xml:space="preserve">README liệt kê nhưng repo thiếu, cần xác nhận với nhóm phát triển</t>
  </si>
  <si>
    <t xml:space="preserve">TC-BS-01</t>
  </si>
  <si>
    <t xml:space="preserve">Necromancer</t>
  </si>
  <si>
    <t xml:space="preserve">Necromancer: chỉ số và tấn công</t>
  </si>
  <si>
    <t xml:space="preserve">Tầng 1, phòng Boss</t>
  </si>
  <si>
    <t xml:space="preserve">1. Vào phòng Boss
2. Quan sát đòn đánh</t>
  </si>
  <si>
    <t xml:space="preserve">HP 30, tầm cận chiến 60, tầm độc 200</t>
  </si>
  <si>
    <t xml:space="preserve">Boss tấn công cận chiến (1) hoặc ném vùng độc (2) cách nhau 1.5 giây</t>
  </si>
  <si>
    <t xml:space="preserve">TC-BS-02</t>
  </si>
  <si>
    <t xml:space="preserve">Vùng độc nổ sau 2 giây</t>
  </si>
  <si>
    <t xml:space="preserve">1. Quan sát vùng đỏ dưới chân
2. Chờ 2 giây</t>
  </si>
  <si>
    <t xml:space="preserve">damage 2</t>
  </si>
  <si>
    <t xml:space="preserve">Vòng đỏ nhấp nháy 2 giây rồi nổ, gây 2 sát thương nếu người chơi trong vòng bán kính 30</t>
  </si>
  <si>
    <t xml:space="preserve">TC-BS-03</t>
  </si>
  <si>
    <t xml:space="preserve">Phase 2 tại 2/3 máu triệu hồi quái</t>
  </si>
  <si>
    <t xml:space="preserve">Boss còn ≤ 20 máu</t>
  </si>
  <si>
    <t xml:space="preserve">1. Gây sát thương đến khi Boss ≤ 20</t>
  </si>
  <si>
    <t xml:space="preserve">Phase 2</t>
  </si>
  <si>
    <t xml:space="preserve">Boss triệu hồi 5-7 quái, tăng sát thương +1</t>
  </si>
  <si>
    <t xml:space="preserve">TC-BS-04</t>
  </si>
  <si>
    <t xml:space="preserve">Phase 3 tại 1/3 máu</t>
  </si>
  <si>
    <t xml:space="preserve">Boss còn ≤ 10 máu</t>
  </si>
  <si>
    <t xml:space="preserve">1. Gây sát thương đến khi Boss ≤ 10</t>
  </si>
  <si>
    <t xml:space="preserve">Phase 3</t>
  </si>
  <si>
    <t xml:space="preserve">Boss triệu hồi thêm quái, giảm hồi chiêu xuống 60%, sát thương +1 nữa</t>
  </si>
  <si>
    <t xml:space="preserve">TC-BS-05</t>
  </si>
  <si>
    <t xml:space="preserve">Boss miễn nhiễm khi đang triệu hồi</t>
  </si>
  <si>
    <t xml:space="preserve">Boss đang cast</t>
  </si>
  <si>
    <t xml:space="preserve">1. Chém Boss khi cast</t>
  </si>
  <si>
    <t xml:space="preserve">Không nhận sát thương trong lúc cast</t>
  </si>
  <si>
    <t xml:space="preserve">TC-BS-06</t>
  </si>
  <si>
    <t xml:space="preserve">Boss chết kích hoạt cổng</t>
  </si>
  <si>
    <t xml:space="preserve">1. Hạ Boss (hết máu)</t>
  </si>
  <si>
    <t xml:space="preserve">Phát animation death, cửa mở, cổng xuất hiện</t>
  </si>
  <si>
    <t xml:space="preserve">TC-BS-07</t>
  </si>
  <si>
    <t xml:space="preserve">Orc Rider</t>
  </si>
  <si>
    <t xml:space="preserve">Orc Rider: chỉ số</t>
  </si>
  <si>
    <t xml:space="preserve">Tầng 2, phòng Boss</t>
  </si>
  <si>
    <t xml:space="preserve">1. Vào phòng Boss</t>
  </si>
  <si>
    <t xml:space="preserve">HP 30, speed 70</t>
  </si>
  <si>
    <t xml:space="preserve">Boss xuất hiện, đuổi theo, có đòn lao và xoay búa</t>
  </si>
  <si>
    <t xml:space="preserve">TC-BS-08</t>
  </si>
  <si>
    <t xml:space="preserve">Đòn lao tăng tốc x4</t>
  </si>
  <si>
    <t xml:space="preserve">1. Đứng cách xa Boss và quan sát đòn lao</t>
  </si>
  <si>
    <t xml:space="preserve">speed 70 x 4 = 280</t>
  </si>
  <si>
    <t xml:space="preserve">Boss báo hiệu rồi lao với tốc độ cao; đòn tại điểm phanh gây x2 sát thương (4)</t>
  </si>
  <si>
    <t xml:space="preserve">TC-BS-09</t>
  </si>
  <si>
    <t xml:space="preserve">Đòn xoay búa x3 sát thương</t>
  </si>
  <si>
    <t xml:space="preserve">1. Để Boss dùng xoay búa trúng người chơi</t>
  </si>
  <si>
    <t xml:space="preserve">base damage 2</t>
  </si>
  <si>
    <t xml:space="preserve">Gây 6 sát thương</t>
  </si>
  <si>
    <t xml:space="preserve">TC-BS-10</t>
  </si>
  <si>
    <t xml:space="preserve">Chuyển Phase theo máu</t>
  </si>
  <si>
    <t xml:space="preserve">1. Gây sát thương đến ≤ 19 máu, sau đó ≤ 9</t>
  </si>
  <si>
    <t xml:space="preserve">66% và 33%</t>
  </si>
  <si>
    <t xml:space="preserve">Phase 2: tốc độ 110; Phase 3: tốc độ 140</t>
  </si>
  <si>
    <t xml:space="preserve">TC-BS-11</t>
  </si>
  <si>
    <t xml:space="preserve">Boss bị khóa trong lúc đổi Phase</t>
  </si>
  <si>
    <t xml:space="preserve">1. Đánh Boss ngay lúc đổi Phase</t>
  </si>
  <si>
    <t xml:space="preserve">Boss hủy hành động hiện tại, không đơ</t>
  </si>
  <si>
    <t xml:space="preserve">TC-BS-12</t>
  </si>
  <si>
    <t xml:space="preserve">Kitsune</t>
  </si>
  <si>
    <t xml:space="preserve">Boss Kitsune theo README</t>
  </si>
  <si>
    <t xml:space="preserve">1. Tìm Boss Kitsune ở các tầng 1-5</t>
  </si>
  <si>
    <t xml:space="preserve">Không thấy: không có file Kitsune trong repo; tầng chẵn dùng Orc Rider (log in ra 'Kitsune')</t>
  </si>
  <si>
    <t xml:space="preserve">Lệch README: Kitsune chưa có</t>
  </si>
  <si>
    <t xml:space="preserve">TC-PR-01</t>
  </si>
  <si>
    <t xml:space="preserve">Đạn quái</t>
  </si>
  <si>
    <t xml:space="preserve">Mũi tên quái trúng người chơi</t>
  </si>
  <si>
    <t xml:space="preserve">Archer bắn</t>
  </si>
  <si>
    <t xml:space="preserve">1. Đứng yên để mũi tên trúng</t>
  </si>
  <si>
    <t xml:space="preserve">damage 1, speed 200</t>
  </si>
  <si>
    <t xml:space="preserve">Nhận 1 sát thương, mũi tên biến mất</t>
  </si>
  <si>
    <t xml:space="preserve">TC-PR-02</t>
  </si>
  <si>
    <t xml:space="preserve">Mũi tên quái biến mất khi trúng tường</t>
  </si>
  <si>
    <t xml:space="preserve">1. Đứng sau tường để Archer bắn</t>
  </si>
  <si>
    <t xml:space="preserve">Mũi tên biến mất khi chạm tường</t>
  </si>
  <si>
    <t xml:space="preserve">TC-PR-03</t>
  </si>
  <si>
    <t xml:space="preserve">Mũi tên quái tự hủy sau 3 giây</t>
  </si>
  <si>
    <t xml:space="preserve">1. Né mũi tên, quan sát</t>
  </si>
  <si>
    <t xml:space="preserve">3s</t>
  </si>
  <si>
    <t xml:space="preserve">Mũi tên biến mất sau 3 giây</t>
  </si>
  <si>
    <t xml:space="preserve">TC-PR-04</t>
  </si>
  <si>
    <t xml:space="preserve">I-Frames chặn sát thương đạn</t>
  </si>
  <si>
    <t xml:space="preserve">Charlotte lướt</t>
  </si>
  <si>
    <t xml:space="preserve">1. Lướt xuyên mũi tên bằng chuột phải</t>
  </si>
  <si>
    <t xml:space="preserve">TC-SY-01</t>
  </si>
  <si>
    <t xml:space="preserve">Cấu hình</t>
  </si>
  <si>
    <t xml:space="preserve">Chạy được trên Godot 4.7.2</t>
  </si>
  <si>
    <t xml:space="preserve">Cài Godot 4.7.2</t>
  </si>
  <si>
    <t xml:space="preserve">1. Import dự án, nhấn F5</t>
  </si>
  <si>
    <t xml:space="preserve">Dự án mở không lỗi; game chạy vào Main Menu</t>
  </si>
  <si>
    <t xml:space="preserve">TC-SY-02</t>
  </si>
  <si>
    <t xml:space="preserve">Không có lỗi/warning khi tải scene</t>
  </si>
  <si>
    <t xml:space="preserve">1. Mở Output sau khi chạy 1 ván</t>
  </si>
  <si>
    <t xml:space="preserve">Không có lỗi đỏ (script, resource, đường dẫn)</t>
  </si>
  <si>
    <t xml:space="preserve">TC-SY-03</t>
  </si>
  <si>
    <t xml:space="preserve">Thay đổi kích thước cửa sổ</t>
  </si>
  <si>
    <t xml:space="preserve">1. Phóng to/thu nhỏ cửa sổ khi chơi</t>
  </si>
  <si>
    <t xml:space="preserve">stretch canvas_items, aspect expand</t>
  </si>
  <si>
    <t xml:space="preserve">Giao diện co giãn đúng, HUD không bị mất</t>
  </si>
  <si>
    <t xml:space="preserve">TC-SY-04</t>
  </si>
  <si>
    <t xml:space="preserve">Hiệu năng ổn định ở màn đông quái</t>
  </si>
  <si>
    <t xml:space="preserve">1. Vào phòng có ≥ 6 quái và Boss triệu hồi 7 quái
2. Quan sát FPS</t>
  </si>
  <si>
    <t xml:space="preserve">FPS ổn định (≥ 55 với máy cấu hình trung bình)</t>
  </si>
  <si>
    <t xml:space="preserve">TC-SY-05</t>
  </si>
  <si>
    <t xml:space="preserve">Chơi nhiều lượt liên tiếp</t>
  </si>
  <si>
    <t xml:space="preserve">1. Chơi, chết, Retry, chơi lại 5 lần</t>
  </si>
  <si>
    <t xml:space="preserve">Không crash, không rò rỉ trạng thái giữa các ván</t>
  </si>
  <si>
    <t xml:space="preserve">TC-SY-06</t>
  </si>
  <si>
    <t xml:space="preserve">Không có file phụ thuộc bị thiếu</t>
  </si>
  <si>
    <t xml:space="preserve">1. Quét thư mục Scene khi mở dự án</t>
  </si>
  <si>
    <t xml:space="preserve">Không có thông báo thiếu resource</t>
  </si>
  <si>
    <t xml:space="preserve">STT</t>
  </si>
  <si>
    <t xml:space="preserve">Vấn đề phát hiện khi đọc mã nguồn</t>
  </si>
  <si>
    <t xml:space="preserve">Chi tiết</t>
  </si>
  <si>
    <t xml:space="preserve">File liên quan</t>
  </si>
  <si>
    <t xml:space="preserve">Mức độ</t>
  </si>
  <si>
    <t xml:space="preserve">README ghi 10 phòng, code mặc định 16</t>
  </si>
  <si>
    <t xml:space="preserve">dungeon_generator.gd khai báo num_rooms = 16 và world.tscn không ghi đè.</t>
  </si>
  <si>
    <t xml:space="preserve">Scene/Map/dungeon_generator.gd</t>
  </si>
  <si>
    <t xml:space="preserve">Boss Kitsune không tồn tại trong repo</t>
  </si>
  <si>
    <t xml:space="preserve">Không có thư mục Boss/Kitsune. Tầng chẵn sinh Orc Rider nhưng log in ra 'Kitsune xuất hiện'.</t>
  </si>
  <si>
    <t xml:space="preserve">dungeon_generator.gd, Scene/Enemies/Boss</t>
  </si>
  <si>
    <t xml:space="preserve">Blood Monster không tồn tại</t>
  </si>
  <si>
    <t xml:space="preserve">README liệt kê Blood Monster nhưng không có file và không có trong enemy_scenes.</t>
  </si>
  <si>
    <t xml:space="preserve">dungeon_generator.gd, README.md</t>
  </si>
  <si>
    <t xml:space="preserve">Mô tả Kiếm tai ương không khớp dữ liệu</t>
  </si>
  <si>
    <t xml:space="preserve">Mô tả '+1 DMG +1 Giáp' nhưng damage = 8, armor = 1.</t>
  </si>
  <si>
    <t xml:space="preserve">Scene/Items/mystic_sword.tres</t>
  </si>
  <si>
    <t xml:space="preserve">Bình máu lớn thiếu tên</t>
  </si>
  <si>
    <t xml:space="preserve">big_health_potion.tres không đặt item_name, tooltip sẽ hiện tên mặc định 'Vật phẩm mới'.</t>
  </si>
  <si>
    <t xml:space="preserve">Scene/Items/big_health_potion.tres</t>
  </si>
  <si>
    <t xml:space="preserve">Code thử nghiệm còn trong player.gd</t>
  </si>
  <si>
    <t xml:space="preserve">_ready() tự thêm Bình máu nhỏ, Giáp cốt, Kiếm tai ương vào túi (chú thích 'Test thử').</t>
  </si>
  <si>
    <t xml:space="preserve">Scene/Character/Player 1_Pyrois/player.gd</t>
  </si>
  <si>
    <t xml:space="preserve">Vật phẩm túi ô 10-16 khó sử dụng</t>
  </si>
  <si>
    <t xml:space="preserve">Túi 16 ô nhưng hotbar chỉ 9 ô và phím 1-9; không có UI cho ô 10-16 trong repo.</t>
  </si>
  <si>
    <t xml:space="preserve">InventoryManager.gd, GameUI.gd</t>
  </si>
  <si>
    <t xml:space="preserve">Chưa có UI tháo trang bị</t>
  </si>
  <si>
    <t xml:space="preserve">unequip_item() có sẵn nhưng không có ô trang bị gọi tới; README nói click ô để tháo.</t>
  </si>
  <si>
    <t xml:space="preserve">Pyrois 'khởi điểm 5 máu' theo README</t>
  </si>
  <si>
    <t xml:space="preserve">Code: base_max_hp = 4 và hp = max_hp = 4 khi vào game.</t>
  </si>
  <si>
    <t xml:space="preserve">Player 1_Pyrois/player.gd</t>
  </si>
  <si>
    <t xml:space="preserve">Quái Skeleton/Vampire không có hàm rớt đồ</t>
  </si>
  <si>
    <t xml:space="preserve">README nói quái thường 30% rớt đồ; chỉ Orc và Armored Orc có drop_loot.</t>
  </si>
  <si>
    <t xml:space="preserve">skeleton.gd, vampire.gd, orc.gd</t>
  </si>
  <si>
    <t xml:space="preserve">PLAYER_SCENE trỏ tới file .gd</t>
  </si>
  <si>
    <t xml:space="preserve">preload('.../player.gd').instantiate() sẽ lỗi nếu GameManager không có nhân vật; hiện chưa xảy ra nhờ GameManager đặt mặc định.</t>
  </si>
  <si>
    <t xml:space="preserve">dungeon_generator.gd</t>
  </si>
  <si>
    <t xml:space="preserve">Retry và Restart đưa tới nơi khác nhau</t>
  </si>
  <si>
    <t xml:space="preserve">Game Over → Retry về màn Chọn nhân vật; Pause → Restart tải lại world, giữ nhân vật.</t>
  </si>
  <si>
    <t xml:space="preserve">game_over_menu.gd, pause_menu.gd</t>
  </si>
  <si>
    <t xml:space="preserve">Buff Olaf cộng theo base_damage</t>
  </si>
  <si>
    <t xml:space="preserve">Buff cộng thêm base_damage nên vũ khí không được nhân đôi; cần xác nhận với thiết kế.</t>
  </si>
  <si>
    <t xml:space="preserve">Player 2_Olaf/player_2.gd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</si>
</sst>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4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9" customFormat="false" ht="15" hidden="false" customHeight="false" outlineLevel="0" collapsed="false">
      <c r="A9" s="4" t="s">
        <v>11</v>
      </c>
      <c r="B9" s="4" t="s">
        <v>12</v>
      </c>
      <c r="C9" s="4" t="s">
        <v>13</v>
      </c>
      <c r="D9" s="4" t="s">
        <v>14</v>
      </c>
      <c r="E9" s="4" t="s">
        <v>15</v>
      </c>
      <c r="F9" s="4" t="s">
        <v>16</v>
      </c>
      <c r="G9" s="4" t="s">
        <v>17</v>
      </c>
      <c r="H9" s="4" t="s">
        <v>18</v>
      </c>
    </row>
    <row r="10" customFormat="false" ht="15" hidden="false" customHeight="false" outlineLevel="0" collapsed="false">
      <c r="A10" s="5" t="s">
        <v>19</v>
      </c>
      <c r="B10" s="6" t="n">
        <f aca="false">COUNTIF('Test Case'!$B$2:$B$184,A10)</f>
        <v>4</v>
      </c>
      <c r="C10" s="6" t="n">
        <f aca="false">COUNTIFS('Test Case'!$B$2:$B$184,$A10,'Test Case'!$L$2:$L$184,"Đạt")</f>
        <v>0</v>
      </c>
      <c r="D10" s="6" t="n">
        <f aca="false">COUNTIFS('Test Case'!$B$2:$B$184,$A10,'Test Case'!$L$2:$L$184,"Không đạt")</f>
        <v>0</v>
      </c>
      <c r="E10" s="6" t="n">
        <f aca="false">COUNTIFS('Test Case'!$B$2:$B$184,$A10,'Test Case'!$L$2:$L$184,"Bị chặn")</f>
        <v>0</v>
      </c>
      <c r="F10" s="6" t="n">
        <f aca="false">COUNTIFS('Test Case'!$B$2:$B$184,$A10,'Test Case'!$L$2:$L$184,"Chưa chạy")</f>
        <v>4</v>
      </c>
      <c r="G10" s="7" t="n">
        <f aca="false">IF(B10=0,0,C10/B10)</f>
        <v>0</v>
      </c>
      <c r="H10" s="7" t="n">
        <f aca="false">IF(B10=0,0,(B10-F10)/B10)</f>
        <v>0</v>
      </c>
    </row>
    <row r="11" customFormat="false" ht="15" hidden="false" customHeight="false" outlineLevel="0" collapsed="false">
      <c r="A11" s="5" t="s">
        <v>20</v>
      </c>
      <c r="B11" s="6" t="n">
        <f aca="false">COUNTIF('Test Case'!$B$2:$B$184,A11)</f>
        <v>7</v>
      </c>
      <c r="C11" s="6" t="n">
        <f aca="false">COUNTIFS('Test Case'!$B$2:$B$184,$A11,'Test Case'!$L$2:$L$184,"Đạt")</f>
        <v>0</v>
      </c>
      <c r="D11" s="6" t="n">
        <f aca="false">COUNTIFS('Test Case'!$B$2:$B$184,$A11,'Test Case'!$L$2:$L$184,"Không đạt")</f>
        <v>0</v>
      </c>
      <c r="E11" s="6" t="n">
        <f aca="false">COUNTIFS('Test Case'!$B$2:$B$184,$A11,'Test Case'!$L$2:$L$184,"Bị chặn")</f>
        <v>0</v>
      </c>
      <c r="F11" s="6" t="n">
        <f aca="false">COUNTIFS('Test Case'!$B$2:$B$184,$A11,'Test Case'!$L$2:$L$184,"Chưa chạy")</f>
        <v>7</v>
      </c>
      <c r="G11" s="7" t="n">
        <f aca="false">IF(B11=0,0,C11/B11)</f>
        <v>0</v>
      </c>
      <c r="H11" s="7" t="n">
        <f aca="false">IF(B11=0,0,(B11-F11)/B11)</f>
        <v>0</v>
      </c>
    </row>
    <row r="12" customFormat="false" ht="15" hidden="false" customHeight="false" outlineLevel="0" collapsed="false">
      <c r="A12" s="5" t="s">
        <v>21</v>
      </c>
      <c r="B12" s="6" t="n">
        <f aca="false">COUNTIF('Test Case'!$B$2:$B$184,A12)</f>
        <v>8</v>
      </c>
      <c r="C12" s="6" t="n">
        <f aca="false">COUNTIFS('Test Case'!$B$2:$B$184,$A12,'Test Case'!$L$2:$L$184,"Đạt")</f>
        <v>0</v>
      </c>
      <c r="D12" s="6" t="n">
        <f aca="false">COUNTIFS('Test Case'!$B$2:$B$184,$A12,'Test Case'!$L$2:$L$184,"Không đạt")</f>
        <v>0</v>
      </c>
      <c r="E12" s="6" t="n">
        <f aca="false">COUNTIFS('Test Case'!$B$2:$B$184,$A12,'Test Case'!$L$2:$L$184,"Bị chặn")</f>
        <v>0</v>
      </c>
      <c r="F12" s="6" t="n">
        <f aca="false">COUNTIFS('Test Case'!$B$2:$B$184,$A12,'Test Case'!$L$2:$L$184,"Chưa chạy")</f>
        <v>8</v>
      </c>
      <c r="G12" s="7" t="n">
        <f aca="false">IF(B12=0,0,C12/B12)</f>
        <v>0</v>
      </c>
      <c r="H12" s="7" t="n">
        <f aca="false">IF(B12=0,0,(B12-F12)/B12)</f>
        <v>0</v>
      </c>
    </row>
    <row r="13" customFormat="false" ht="15" hidden="false" customHeight="false" outlineLevel="0" collapsed="false">
      <c r="A13" s="5" t="s">
        <v>22</v>
      </c>
      <c r="B13" s="6" t="n">
        <f aca="false">COUNTIF('Test Case'!$B$2:$B$184,A13)</f>
        <v>5</v>
      </c>
      <c r="C13" s="6" t="n">
        <f aca="false">COUNTIFS('Test Case'!$B$2:$B$184,$A13,'Test Case'!$L$2:$L$184,"Đạt")</f>
        <v>0</v>
      </c>
      <c r="D13" s="6" t="n">
        <f aca="false">COUNTIFS('Test Case'!$B$2:$B$184,$A13,'Test Case'!$L$2:$L$184,"Không đạt")</f>
        <v>0</v>
      </c>
      <c r="E13" s="6" t="n">
        <f aca="false">COUNTIFS('Test Case'!$B$2:$B$184,$A13,'Test Case'!$L$2:$L$184,"Bị chặn")</f>
        <v>0</v>
      </c>
      <c r="F13" s="6" t="n">
        <f aca="false">COUNTIFS('Test Case'!$B$2:$B$184,$A13,'Test Case'!$L$2:$L$184,"Chưa chạy")</f>
        <v>5</v>
      </c>
      <c r="G13" s="7" t="n">
        <f aca="false">IF(B13=0,0,C13/B13)</f>
        <v>0</v>
      </c>
      <c r="H13" s="7" t="n">
        <f aca="false">IF(B13=0,0,(B13-F13)/B13)</f>
        <v>0</v>
      </c>
    </row>
    <row r="14" customFormat="false" ht="15" hidden="false" customHeight="false" outlineLevel="0" collapsed="false">
      <c r="A14" s="5" t="s">
        <v>23</v>
      </c>
      <c r="B14" s="6" t="n">
        <f aca="false">COUNTIF('Test Case'!$B$2:$B$184,A14)</f>
        <v>7</v>
      </c>
      <c r="C14" s="6" t="n">
        <f aca="false">COUNTIFS('Test Case'!$B$2:$B$184,$A14,'Test Case'!$L$2:$L$184,"Đạt")</f>
        <v>0</v>
      </c>
      <c r="D14" s="6" t="n">
        <f aca="false">COUNTIFS('Test Case'!$B$2:$B$184,$A14,'Test Case'!$L$2:$L$184,"Không đạt")</f>
        <v>0</v>
      </c>
      <c r="E14" s="6" t="n">
        <f aca="false">COUNTIFS('Test Case'!$B$2:$B$184,$A14,'Test Case'!$L$2:$L$184,"Bị chặn")</f>
        <v>0</v>
      </c>
      <c r="F14" s="6" t="n">
        <f aca="false">COUNTIFS('Test Case'!$B$2:$B$184,$A14,'Test Case'!$L$2:$L$184,"Chưa chạy")</f>
        <v>7</v>
      </c>
      <c r="G14" s="7" t="n">
        <f aca="false">IF(B14=0,0,C14/B14)</f>
        <v>0</v>
      </c>
      <c r="H14" s="7" t="n">
        <f aca="false">IF(B14=0,0,(B14-F14)/B14)</f>
        <v>0</v>
      </c>
    </row>
    <row r="15" customFormat="false" ht="15" hidden="false" customHeight="false" outlineLevel="0" collapsed="false">
      <c r="A15" s="5" t="s">
        <v>24</v>
      </c>
      <c r="B15" s="6" t="n">
        <f aca="false">COUNTIF('Test Case'!$B$2:$B$184,A15)</f>
        <v>13</v>
      </c>
      <c r="C15" s="6" t="n">
        <f aca="false">COUNTIFS('Test Case'!$B$2:$B$184,$A15,'Test Case'!$L$2:$L$184,"Đạt")</f>
        <v>0</v>
      </c>
      <c r="D15" s="6" t="n">
        <f aca="false">COUNTIFS('Test Case'!$B$2:$B$184,$A15,'Test Case'!$L$2:$L$184,"Không đạt")</f>
        <v>0</v>
      </c>
      <c r="E15" s="6" t="n">
        <f aca="false">COUNTIFS('Test Case'!$B$2:$B$184,$A15,'Test Case'!$L$2:$L$184,"Bị chặn")</f>
        <v>0</v>
      </c>
      <c r="F15" s="6" t="n">
        <f aca="false">COUNTIFS('Test Case'!$B$2:$B$184,$A15,'Test Case'!$L$2:$L$184,"Chưa chạy")</f>
        <v>13</v>
      </c>
      <c r="G15" s="7" t="n">
        <f aca="false">IF(B15=0,0,C15/B15)</f>
        <v>0</v>
      </c>
      <c r="H15" s="7" t="n">
        <f aca="false">IF(B15=0,0,(B15-F15)/B15)</f>
        <v>0</v>
      </c>
    </row>
    <row r="16" customFormat="false" ht="15" hidden="false" customHeight="false" outlineLevel="0" collapsed="false">
      <c r="A16" s="5" t="s">
        <v>25</v>
      </c>
      <c r="B16" s="6" t="n">
        <f aca="false">COUNTIF('Test Case'!$B$2:$B$184,A16)</f>
        <v>10</v>
      </c>
      <c r="C16" s="6" t="n">
        <f aca="false">COUNTIFS('Test Case'!$B$2:$B$184,$A16,'Test Case'!$L$2:$L$184,"Đạt")</f>
        <v>0</v>
      </c>
      <c r="D16" s="6" t="n">
        <f aca="false">COUNTIFS('Test Case'!$B$2:$B$184,$A16,'Test Case'!$L$2:$L$184,"Không đạt")</f>
        <v>0</v>
      </c>
      <c r="E16" s="6" t="n">
        <f aca="false">COUNTIFS('Test Case'!$B$2:$B$184,$A16,'Test Case'!$L$2:$L$184,"Bị chặn")</f>
        <v>0</v>
      </c>
      <c r="F16" s="6" t="n">
        <f aca="false">COUNTIFS('Test Case'!$B$2:$B$184,$A16,'Test Case'!$L$2:$L$184,"Chưa chạy")</f>
        <v>10</v>
      </c>
      <c r="G16" s="7" t="n">
        <f aca="false">IF(B16=0,0,C16/B16)</f>
        <v>0</v>
      </c>
      <c r="H16" s="7" t="n">
        <f aca="false">IF(B16=0,0,(B16-F16)/B16)</f>
        <v>0</v>
      </c>
    </row>
    <row r="17" customFormat="false" ht="15" hidden="false" customHeight="false" outlineLevel="0" collapsed="false">
      <c r="A17" s="5" t="s">
        <v>26</v>
      </c>
      <c r="B17" s="6" t="n">
        <f aca="false">COUNTIF('Test Case'!$B$2:$B$184,A17)</f>
        <v>6</v>
      </c>
      <c r="C17" s="6" t="n">
        <f aca="false">COUNTIFS('Test Case'!$B$2:$B$184,$A17,'Test Case'!$L$2:$L$184,"Đạt")</f>
        <v>0</v>
      </c>
      <c r="D17" s="6" t="n">
        <f aca="false">COUNTIFS('Test Case'!$B$2:$B$184,$A17,'Test Case'!$L$2:$L$184,"Không đạt")</f>
        <v>0</v>
      </c>
      <c r="E17" s="6" t="n">
        <f aca="false">COUNTIFS('Test Case'!$B$2:$B$184,$A17,'Test Case'!$L$2:$L$184,"Bị chặn")</f>
        <v>0</v>
      </c>
      <c r="F17" s="6" t="n">
        <f aca="false">COUNTIFS('Test Case'!$B$2:$B$184,$A17,'Test Case'!$L$2:$L$184,"Chưa chạy")</f>
        <v>6</v>
      </c>
      <c r="G17" s="7" t="n">
        <f aca="false">IF(B17=0,0,C17/B17)</f>
        <v>0</v>
      </c>
      <c r="H17" s="7" t="n">
        <f aca="false">IF(B17=0,0,(B17-F17)/B17)</f>
        <v>0</v>
      </c>
    </row>
    <row r="18" customFormat="false" ht="15" hidden="false" customHeight="false" outlineLevel="0" collapsed="false">
      <c r="A18" s="5" t="s">
        <v>27</v>
      </c>
      <c r="B18" s="6" t="n">
        <f aca="false">COUNTIF('Test Case'!$B$2:$B$184,A18)</f>
        <v>10</v>
      </c>
      <c r="C18" s="6" t="n">
        <f aca="false">COUNTIFS('Test Case'!$B$2:$B$184,$A18,'Test Case'!$L$2:$L$184,"Đạt")</f>
        <v>0</v>
      </c>
      <c r="D18" s="6" t="n">
        <f aca="false">COUNTIFS('Test Case'!$B$2:$B$184,$A18,'Test Case'!$L$2:$L$184,"Không đạt")</f>
        <v>0</v>
      </c>
      <c r="E18" s="6" t="n">
        <f aca="false">COUNTIFS('Test Case'!$B$2:$B$184,$A18,'Test Case'!$L$2:$L$184,"Bị chặn")</f>
        <v>0</v>
      </c>
      <c r="F18" s="6" t="n">
        <f aca="false">COUNTIFS('Test Case'!$B$2:$B$184,$A18,'Test Case'!$L$2:$L$184,"Chưa chạy")</f>
        <v>10</v>
      </c>
      <c r="G18" s="7" t="n">
        <f aca="false">IF(B18=0,0,C18/B18)</f>
        <v>0</v>
      </c>
      <c r="H18" s="7" t="n">
        <f aca="false">IF(B18=0,0,(B18-F18)/B18)</f>
        <v>0</v>
      </c>
    </row>
    <row r="19" customFormat="false" ht="15" hidden="false" customHeight="false" outlineLevel="0" collapsed="false">
      <c r="A19" s="5" t="s">
        <v>28</v>
      </c>
      <c r="B19" s="6" t="n">
        <f aca="false">COUNTIF('Test Case'!$B$2:$B$184,A19)</f>
        <v>8</v>
      </c>
      <c r="C19" s="6" t="n">
        <f aca="false">COUNTIFS('Test Case'!$B$2:$B$184,$A19,'Test Case'!$L$2:$L$184,"Đạt")</f>
        <v>0</v>
      </c>
      <c r="D19" s="6" t="n">
        <f aca="false">COUNTIFS('Test Case'!$B$2:$B$184,$A19,'Test Case'!$L$2:$L$184,"Không đạt")</f>
        <v>0</v>
      </c>
      <c r="E19" s="6" t="n">
        <f aca="false">COUNTIFS('Test Case'!$B$2:$B$184,$A19,'Test Case'!$L$2:$L$184,"Bị chặn")</f>
        <v>0</v>
      </c>
      <c r="F19" s="6" t="n">
        <f aca="false">COUNTIFS('Test Case'!$B$2:$B$184,$A19,'Test Case'!$L$2:$L$184,"Chưa chạy")</f>
        <v>8</v>
      </c>
      <c r="G19" s="7" t="n">
        <f aca="false">IF(B19=0,0,C19/B19)</f>
        <v>0</v>
      </c>
      <c r="H19" s="7" t="n">
        <f aca="false">IF(B19=0,0,(B19-F19)/B19)</f>
        <v>0</v>
      </c>
    </row>
    <row r="20" customFormat="false" ht="15" hidden="false" customHeight="false" outlineLevel="0" collapsed="false">
      <c r="A20" s="5" t="s">
        <v>29</v>
      </c>
      <c r="B20" s="6" t="n">
        <f aca="false">COUNTIF('Test Case'!$B$2:$B$184,A20)</f>
        <v>11</v>
      </c>
      <c r="C20" s="6" t="n">
        <f aca="false">COUNTIFS('Test Case'!$B$2:$B$184,$A20,'Test Case'!$L$2:$L$184,"Đạt")</f>
        <v>0</v>
      </c>
      <c r="D20" s="6" t="n">
        <f aca="false">COUNTIFS('Test Case'!$B$2:$B$184,$A20,'Test Case'!$L$2:$L$184,"Không đạt")</f>
        <v>0</v>
      </c>
      <c r="E20" s="6" t="n">
        <f aca="false">COUNTIFS('Test Case'!$B$2:$B$184,$A20,'Test Case'!$L$2:$L$184,"Bị chặn")</f>
        <v>0</v>
      </c>
      <c r="F20" s="6" t="n">
        <f aca="false">COUNTIFS('Test Case'!$B$2:$B$184,$A20,'Test Case'!$L$2:$L$184,"Chưa chạy")</f>
        <v>11</v>
      </c>
      <c r="G20" s="7" t="n">
        <f aca="false">IF(B20=0,0,C20/B20)</f>
        <v>0</v>
      </c>
      <c r="H20" s="7" t="n">
        <f aca="false">IF(B20=0,0,(B20-F20)/B20)</f>
        <v>0</v>
      </c>
    </row>
    <row r="21" customFormat="false" ht="15" hidden="false" customHeight="false" outlineLevel="0" collapsed="false">
      <c r="A21" s="5" t="s">
        <v>30</v>
      </c>
      <c r="B21" s="6" t="n">
        <f aca="false">COUNTIF('Test Case'!$B$2:$B$184,A21)</f>
        <v>12</v>
      </c>
      <c r="C21" s="6" t="n">
        <f aca="false">COUNTIFS('Test Case'!$B$2:$B$184,$A21,'Test Case'!$L$2:$L$184,"Đạt")</f>
        <v>0</v>
      </c>
      <c r="D21" s="6" t="n">
        <f aca="false">COUNTIFS('Test Case'!$B$2:$B$184,$A21,'Test Case'!$L$2:$L$184,"Không đạt")</f>
        <v>0</v>
      </c>
      <c r="E21" s="6" t="n">
        <f aca="false">COUNTIFS('Test Case'!$B$2:$B$184,$A21,'Test Case'!$L$2:$L$184,"Bị chặn")</f>
        <v>0</v>
      </c>
      <c r="F21" s="6" t="n">
        <f aca="false">COUNTIFS('Test Case'!$B$2:$B$184,$A21,'Test Case'!$L$2:$L$184,"Chưa chạy")</f>
        <v>12</v>
      </c>
      <c r="G21" s="7" t="n">
        <f aca="false">IF(B21=0,0,C21/B21)</f>
        <v>0</v>
      </c>
      <c r="H21" s="7" t="n">
        <f aca="false">IF(B21=0,0,(B21-F21)/B21)</f>
        <v>0</v>
      </c>
    </row>
    <row r="22" customFormat="false" ht="15" hidden="false" customHeight="false" outlineLevel="0" collapsed="false">
      <c r="A22" s="5" t="s">
        <v>31</v>
      </c>
      <c r="B22" s="6" t="n">
        <f aca="false">COUNTIF('Test Case'!$B$2:$B$184,A22)</f>
        <v>8</v>
      </c>
      <c r="C22" s="6" t="n">
        <f aca="false">COUNTIFS('Test Case'!$B$2:$B$184,$A22,'Test Case'!$L$2:$L$184,"Đạt")</f>
        <v>0</v>
      </c>
      <c r="D22" s="6" t="n">
        <f aca="false">COUNTIFS('Test Case'!$B$2:$B$184,$A22,'Test Case'!$L$2:$L$184,"Không đạt")</f>
        <v>0</v>
      </c>
      <c r="E22" s="6" t="n">
        <f aca="false">COUNTIFS('Test Case'!$B$2:$B$184,$A22,'Test Case'!$L$2:$L$184,"Bị chặn")</f>
        <v>0</v>
      </c>
      <c r="F22" s="6" t="n">
        <f aca="false">COUNTIFS('Test Case'!$B$2:$B$184,$A22,'Test Case'!$L$2:$L$184,"Chưa chạy")</f>
        <v>8</v>
      </c>
      <c r="G22" s="7" t="n">
        <f aca="false">IF(B22=0,0,C22/B22)</f>
        <v>0</v>
      </c>
      <c r="H22" s="7" t="n">
        <f aca="false">IF(B22=0,0,(B22-F22)/B22)</f>
        <v>0</v>
      </c>
    </row>
    <row r="23" customFormat="false" ht="15" hidden="false" customHeight="false" outlineLevel="0" collapsed="false">
      <c r="A23" s="5" t="s">
        <v>32</v>
      </c>
      <c r="B23" s="6" t="n">
        <f aca="false">COUNTIF('Test Case'!$B$2:$B$184,A23)</f>
        <v>7</v>
      </c>
      <c r="C23" s="6" t="n">
        <f aca="false">COUNTIFS('Test Case'!$B$2:$B$184,$A23,'Test Case'!$L$2:$L$184,"Đạt")</f>
        <v>0</v>
      </c>
      <c r="D23" s="6" t="n">
        <f aca="false">COUNTIFS('Test Case'!$B$2:$B$184,$A23,'Test Case'!$L$2:$L$184,"Không đạt")</f>
        <v>0</v>
      </c>
      <c r="E23" s="6" t="n">
        <f aca="false">COUNTIFS('Test Case'!$B$2:$B$184,$A23,'Test Case'!$L$2:$L$184,"Bị chặn")</f>
        <v>0</v>
      </c>
      <c r="F23" s="6" t="n">
        <f aca="false">COUNTIFS('Test Case'!$B$2:$B$184,$A23,'Test Case'!$L$2:$L$184,"Chưa chạy")</f>
        <v>7</v>
      </c>
      <c r="G23" s="7" t="n">
        <f aca="false">IF(B23=0,0,C23/B23)</f>
        <v>0</v>
      </c>
      <c r="H23" s="7" t="n">
        <f aca="false">IF(B23=0,0,(B23-F23)/B23)</f>
        <v>0</v>
      </c>
    </row>
    <row r="24" customFormat="false" ht="15" hidden="false" customHeight="false" outlineLevel="0" collapsed="false">
      <c r="A24" s="5" t="s">
        <v>33</v>
      </c>
      <c r="B24" s="6" t="n">
        <f aca="false">COUNTIF('Test Case'!$B$2:$B$184,A24)</f>
        <v>11</v>
      </c>
      <c r="C24" s="6" t="n">
        <f aca="false">COUNTIFS('Test Case'!$B$2:$B$184,$A24,'Test Case'!$L$2:$L$184,"Đạt")</f>
        <v>0</v>
      </c>
      <c r="D24" s="6" t="n">
        <f aca="false">COUNTIFS('Test Case'!$B$2:$B$184,$A24,'Test Case'!$L$2:$L$184,"Không đạt")</f>
        <v>0</v>
      </c>
      <c r="E24" s="6" t="n">
        <f aca="false">COUNTIFS('Test Case'!$B$2:$B$184,$A24,'Test Case'!$L$2:$L$184,"Bị chặn")</f>
        <v>0</v>
      </c>
      <c r="F24" s="6" t="n">
        <f aca="false">COUNTIFS('Test Case'!$B$2:$B$184,$A24,'Test Case'!$L$2:$L$184,"Chưa chạy")</f>
        <v>11</v>
      </c>
      <c r="G24" s="7" t="n">
        <f aca="false">IF(B24=0,0,C24/B24)</f>
        <v>0</v>
      </c>
      <c r="H24" s="7" t="n">
        <f aca="false">IF(B24=0,0,(B24-F24)/B24)</f>
        <v>0</v>
      </c>
    </row>
    <row r="25" customFormat="false" ht="15" hidden="false" customHeight="false" outlineLevel="0" collapsed="false">
      <c r="A25" s="5" t="s">
        <v>34</v>
      </c>
      <c r="B25" s="6" t="n">
        <f aca="false">COUNTIF('Test Case'!$B$2:$B$184,A25)</f>
        <v>7</v>
      </c>
      <c r="C25" s="6" t="n">
        <f aca="false">COUNTIFS('Test Case'!$B$2:$B$184,$A25,'Test Case'!$L$2:$L$184,"Đạt")</f>
        <v>0</v>
      </c>
      <c r="D25" s="6" t="n">
        <f aca="false">COUNTIFS('Test Case'!$B$2:$B$184,$A25,'Test Case'!$L$2:$L$184,"Không đạt")</f>
        <v>0</v>
      </c>
      <c r="E25" s="6" t="n">
        <f aca="false">COUNTIFS('Test Case'!$B$2:$B$184,$A25,'Test Case'!$L$2:$L$184,"Bị chặn")</f>
        <v>0</v>
      </c>
      <c r="F25" s="6" t="n">
        <f aca="false">COUNTIFS('Test Case'!$B$2:$B$184,$A25,'Test Case'!$L$2:$L$184,"Chưa chạy")</f>
        <v>7</v>
      </c>
      <c r="G25" s="7" t="n">
        <f aca="false">IF(B25=0,0,C25/B25)</f>
        <v>0</v>
      </c>
      <c r="H25" s="7" t="n">
        <f aca="false">IF(B25=0,0,(B25-F25)/B25)</f>
        <v>0</v>
      </c>
    </row>
    <row r="26" customFormat="false" ht="15" hidden="false" customHeight="false" outlineLevel="0" collapsed="false">
      <c r="A26" s="5" t="s">
        <v>35</v>
      </c>
      <c r="B26" s="6" t="n">
        <f aca="false">COUNTIF('Test Case'!$B$2:$B$184,A26)</f>
        <v>7</v>
      </c>
      <c r="C26" s="6" t="n">
        <f aca="false">COUNTIFS('Test Case'!$B$2:$B$184,$A26,'Test Case'!$L$2:$L$184,"Đạt")</f>
        <v>0</v>
      </c>
      <c r="D26" s="6" t="n">
        <f aca="false">COUNTIFS('Test Case'!$B$2:$B$184,$A26,'Test Case'!$L$2:$L$184,"Không đạt")</f>
        <v>0</v>
      </c>
      <c r="E26" s="6" t="n">
        <f aca="false">COUNTIFS('Test Case'!$B$2:$B$184,$A26,'Test Case'!$L$2:$L$184,"Bị chặn")</f>
        <v>0</v>
      </c>
      <c r="F26" s="6" t="n">
        <f aca="false">COUNTIFS('Test Case'!$B$2:$B$184,$A26,'Test Case'!$L$2:$L$184,"Chưa chạy")</f>
        <v>7</v>
      </c>
      <c r="G26" s="7" t="n">
        <f aca="false">IF(B26=0,0,C26/B26)</f>
        <v>0</v>
      </c>
      <c r="H26" s="7" t="n">
        <f aca="false">IF(B26=0,0,(B26-F26)/B26)</f>
        <v>0</v>
      </c>
    </row>
    <row r="27" customFormat="false" ht="15" hidden="false" customHeight="false" outlineLevel="0" collapsed="false">
      <c r="A27" s="5" t="s">
        <v>36</v>
      </c>
      <c r="B27" s="6" t="n">
        <f aca="false">COUNTIF('Test Case'!$B$2:$B$184,A27)</f>
        <v>8</v>
      </c>
      <c r="C27" s="6" t="n">
        <f aca="false">COUNTIFS('Test Case'!$B$2:$B$184,$A27,'Test Case'!$L$2:$L$184,"Đạt")</f>
        <v>0</v>
      </c>
      <c r="D27" s="6" t="n">
        <f aca="false">COUNTIFS('Test Case'!$B$2:$B$184,$A27,'Test Case'!$L$2:$L$184,"Không đạt")</f>
        <v>0</v>
      </c>
      <c r="E27" s="6" t="n">
        <f aca="false">COUNTIFS('Test Case'!$B$2:$B$184,$A27,'Test Case'!$L$2:$L$184,"Bị chặn")</f>
        <v>0</v>
      </c>
      <c r="F27" s="6" t="n">
        <f aca="false">COUNTIFS('Test Case'!$B$2:$B$184,$A27,'Test Case'!$L$2:$L$184,"Chưa chạy")</f>
        <v>8</v>
      </c>
      <c r="G27" s="7" t="n">
        <f aca="false">IF(B27=0,0,C27/B27)</f>
        <v>0</v>
      </c>
      <c r="H27" s="7" t="n">
        <f aca="false">IF(B27=0,0,(B27-F27)/B27)</f>
        <v>0</v>
      </c>
    </row>
    <row r="28" customFormat="false" ht="15" hidden="false" customHeight="false" outlineLevel="0" collapsed="false">
      <c r="A28" s="5" t="s">
        <v>37</v>
      </c>
      <c r="B28" s="6" t="n">
        <f aca="false">COUNTIF('Test Case'!$B$2:$B$184,A28)</f>
        <v>12</v>
      </c>
      <c r="C28" s="6" t="n">
        <f aca="false">COUNTIFS('Test Case'!$B$2:$B$184,$A28,'Test Case'!$L$2:$L$184,"Đạt")</f>
        <v>0</v>
      </c>
      <c r="D28" s="6" t="n">
        <f aca="false">COUNTIFS('Test Case'!$B$2:$B$184,$A28,'Test Case'!$L$2:$L$184,"Không đạt")</f>
        <v>0</v>
      </c>
      <c r="E28" s="6" t="n">
        <f aca="false">COUNTIFS('Test Case'!$B$2:$B$184,$A28,'Test Case'!$L$2:$L$184,"Bị chặn")</f>
        <v>0</v>
      </c>
      <c r="F28" s="6" t="n">
        <f aca="false">COUNTIFS('Test Case'!$B$2:$B$184,$A28,'Test Case'!$L$2:$L$184,"Chưa chạy")</f>
        <v>12</v>
      </c>
      <c r="G28" s="7" t="n">
        <f aca="false">IF(B28=0,0,C28/B28)</f>
        <v>0</v>
      </c>
      <c r="H28" s="7" t="n">
        <f aca="false">IF(B28=0,0,(B28-F28)/B28)</f>
        <v>0</v>
      </c>
    </row>
    <row r="29" customFormat="false" ht="15" hidden="false" customHeight="false" outlineLevel="0" collapsed="false">
      <c r="A29" s="5" t="s">
        <v>38</v>
      </c>
      <c r="B29" s="6" t="n">
        <f aca="false">COUNTIF('Test Case'!$B$2:$B$184,A29)</f>
        <v>12</v>
      </c>
      <c r="C29" s="6" t="n">
        <f aca="false">COUNTIFS('Test Case'!$B$2:$B$184,$A29,'Test Case'!$L$2:$L$184,"Đạt")</f>
        <v>0</v>
      </c>
      <c r="D29" s="6" t="n">
        <f aca="false">COUNTIFS('Test Case'!$B$2:$B$184,$A29,'Test Case'!$L$2:$L$184,"Không đạt")</f>
        <v>0</v>
      </c>
      <c r="E29" s="6" t="n">
        <f aca="false">COUNTIFS('Test Case'!$B$2:$B$184,$A29,'Test Case'!$L$2:$L$184,"Bị chặn")</f>
        <v>0</v>
      </c>
      <c r="F29" s="6" t="n">
        <f aca="false">COUNTIFS('Test Case'!$B$2:$B$184,$A29,'Test Case'!$L$2:$L$184,"Chưa chạy")</f>
        <v>12</v>
      </c>
      <c r="G29" s="7" t="n">
        <f aca="false">IF(B29=0,0,C29/B29)</f>
        <v>0</v>
      </c>
      <c r="H29" s="7" t="n">
        <f aca="false">IF(B29=0,0,(B29-F29)/B29)</f>
        <v>0</v>
      </c>
    </row>
    <row r="30" customFormat="false" ht="15" hidden="false" customHeight="false" outlineLevel="0" collapsed="false">
      <c r="A30" s="5" t="s">
        <v>39</v>
      </c>
      <c r="B30" s="6" t="n">
        <f aca="false">COUNTIF('Test Case'!$B$2:$B$184,A30)</f>
        <v>4</v>
      </c>
      <c r="C30" s="6" t="n">
        <f aca="false">COUNTIFS('Test Case'!$B$2:$B$184,$A30,'Test Case'!$L$2:$L$184,"Đạt")</f>
        <v>0</v>
      </c>
      <c r="D30" s="6" t="n">
        <f aca="false">COUNTIFS('Test Case'!$B$2:$B$184,$A30,'Test Case'!$L$2:$L$184,"Không đạt")</f>
        <v>0</v>
      </c>
      <c r="E30" s="6" t="n">
        <f aca="false">COUNTIFS('Test Case'!$B$2:$B$184,$A30,'Test Case'!$L$2:$L$184,"Bị chặn")</f>
        <v>0</v>
      </c>
      <c r="F30" s="6" t="n">
        <f aca="false">COUNTIFS('Test Case'!$B$2:$B$184,$A30,'Test Case'!$L$2:$L$184,"Chưa chạy")</f>
        <v>4</v>
      </c>
      <c r="G30" s="7" t="n">
        <f aca="false">IF(B30=0,0,C30/B30)</f>
        <v>0</v>
      </c>
      <c r="H30" s="7" t="n">
        <f aca="false">IF(B30=0,0,(B30-F30)/B30)</f>
        <v>0</v>
      </c>
    </row>
    <row r="31" customFormat="false" ht="15" hidden="false" customHeight="false" outlineLevel="0" collapsed="false">
      <c r="A31" s="5" t="s">
        <v>40</v>
      </c>
      <c r="B31" s="6" t="n">
        <f aca="false">COUNTIF('Test Case'!$B$2:$B$184,A31)</f>
        <v>6</v>
      </c>
      <c r="C31" s="6" t="n">
        <f aca="false">COUNTIFS('Test Case'!$B$2:$B$184,$A31,'Test Case'!$L$2:$L$184,"Đạt")</f>
        <v>0</v>
      </c>
      <c r="D31" s="6" t="n">
        <f aca="false">COUNTIFS('Test Case'!$B$2:$B$184,$A31,'Test Case'!$L$2:$L$184,"Không đạt")</f>
        <v>0</v>
      </c>
      <c r="E31" s="6" t="n">
        <f aca="false">COUNTIFS('Test Case'!$B$2:$B$184,$A31,'Test Case'!$L$2:$L$184,"Bị chặn")</f>
        <v>0</v>
      </c>
      <c r="F31" s="6" t="n">
        <f aca="false">COUNTIFS('Test Case'!$B$2:$B$184,$A31,'Test Case'!$L$2:$L$184,"Chưa chạy")</f>
        <v>6</v>
      </c>
      <c r="G31" s="7" t="n">
        <f aca="false">IF(B31=0,0,C31/B31)</f>
        <v>0</v>
      </c>
      <c r="H31" s="7" t="n">
        <f aca="false">IF(B31=0,0,(B31-F31)/B31)</f>
        <v>0</v>
      </c>
    </row>
    <row r="32" customFormat="false" ht="15" hidden="false" customHeight="false" outlineLevel="0" collapsed="false">
      <c r="A32" s="8" t="s">
        <v>41</v>
      </c>
      <c r="B32" s="9" t="n">
        <f aca="false">SUM(B10:B31)</f>
        <v>183</v>
      </c>
      <c r="C32" s="9" t="n">
        <f aca="false">SUM(C10:C31)</f>
        <v>0</v>
      </c>
      <c r="D32" s="9" t="n">
        <f aca="false">SUM(D10:D31)</f>
        <v>0</v>
      </c>
      <c r="E32" s="9" t="n">
        <f aca="false">SUM(E10:E31)</f>
        <v>0</v>
      </c>
      <c r="F32" s="9" t="n">
        <f aca="false">SUM(F10:F31)</f>
        <v>183</v>
      </c>
      <c r="G32" s="10" t="n">
        <f aca="false">IF(B32=0,0,C32/B32)</f>
        <v>0</v>
      </c>
      <c r="H32" s="10" t="n">
        <f aca="false">IF(B32=0,0,(B32-F32)/B32)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38"/>
    <col collapsed="false" customWidth="true" hidden="false" outlineLevel="0" max="5" min="5" style="0" width="30"/>
    <col collapsed="false" customWidth="true" hidden="false" outlineLevel="0" max="6" min="6" style="0" width="44"/>
    <col collapsed="false" customWidth="true" hidden="false" outlineLevel="0" max="7" min="7" style="0" width="24"/>
    <col collapsed="false" customWidth="true" hidden="false" outlineLevel="0" max="8" min="8" style="0" width="48"/>
    <col collapsed="false" customWidth="true" hidden="false" outlineLevel="0" max="10" min="9" style="0" width="11"/>
    <col collapsed="false" customWidth="true" hidden="false" outlineLevel="0" max="11" min="11" style="0" width="28"/>
    <col collapsed="false" customWidth="true" hidden="false" outlineLevel="0" max="12" min="12" style="0" width="13"/>
    <col collapsed="false" customWidth="true" hidden="false" outlineLevel="0" max="14" min="13" style="0" width="12"/>
    <col collapsed="false" customWidth="true" hidden="false" outlineLevel="0" max="15" min="15" style="0" width="40"/>
  </cols>
  <sheetData>
    <row r="1" customFormat="false" ht="30" hidden="false" customHeight="true" outlineLevel="0" collapsed="false">
      <c r="A1" s="11" t="s">
        <v>42</v>
      </c>
      <c r="B1" s="11" t="s">
        <v>11</v>
      </c>
      <c r="C1" s="11" t="s">
        <v>43</v>
      </c>
      <c r="D1" s="11" t="s">
        <v>44</v>
      </c>
      <c r="E1" s="11" t="s">
        <v>45</v>
      </c>
      <c r="F1" s="11" t="s">
        <v>46</v>
      </c>
      <c r="G1" s="11" t="s">
        <v>47</v>
      </c>
      <c r="H1" s="11" t="s">
        <v>48</v>
      </c>
      <c r="I1" s="11" t="s">
        <v>49</v>
      </c>
      <c r="J1" s="11" t="s">
        <v>50</v>
      </c>
      <c r="K1" s="11" t="s">
        <v>51</v>
      </c>
      <c r="L1" s="11" t="s">
        <v>52</v>
      </c>
      <c r="M1" s="11" t="s">
        <v>53</v>
      </c>
      <c r="N1" s="11" t="s">
        <v>54</v>
      </c>
      <c r="O1" s="11" t="s">
        <v>55</v>
      </c>
    </row>
    <row r="2" customFormat="false" ht="23.85" hidden="false" customHeight="false" outlineLevel="0" collapsed="false">
      <c r="A2" s="12" t="s">
        <v>56</v>
      </c>
      <c r="B2" s="13" t="s">
        <v>19</v>
      </c>
      <c r="C2" s="13" t="s">
        <v>57</v>
      </c>
      <c r="D2" s="13" t="s">
        <v>58</v>
      </c>
      <c r="E2" s="13" t="s">
        <v>59</v>
      </c>
      <c r="F2" s="13" t="s">
        <v>60</v>
      </c>
      <c r="G2" s="13" t="s">
        <v>61</v>
      </c>
      <c r="H2" s="13" t="s">
        <v>62</v>
      </c>
      <c r="I2" s="12" t="s">
        <v>43</v>
      </c>
      <c r="J2" s="12" t="s">
        <v>63</v>
      </c>
      <c r="K2" s="13"/>
      <c r="L2" s="12" t="s">
        <v>16</v>
      </c>
      <c r="M2" s="12"/>
      <c r="N2" s="12"/>
      <c r="O2" s="13" t="s">
        <v>64</v>
      </c>
    </row>
    <row r="3" customFormat="false" ht="23.85" hidden="false" customHeight="false" outlineLevel="0" collapsed="false">
      <c r="A3" s="12" t="s">
        <v>65</v>
      </c>
      <c r="B3" s="13" t="s">
        <v>19</v>
      </c>
      <c r="C3" s="13" t="s">
        <v>66</v>
      </c>
      <c r="D3" s="13" t="s">
        <v>67</v>
      </c>
      <c r="E3" s="13" t="s">
        <v>68</v>
      </c>
      <c r="F3" s="13" t="s">
        <v>69</v>
      </c>
      <c r="G3" s="13" t="s">
        <v>61</v>
      </c>
      <c r="H3" s="13" t="s">
        <v>70</v>
      </c>
      <c r="I3" s="12" t="s">
        <v>43</v>
      </c>
      <c r="J3" s="12" t="s">
        <v>63</v>
      </c>
      <c r="K3" s="13"/>
      <c r="L3" s="12" t="s">
        <v>16</v>
      </c>
      <c r="M3" s="12"/>
      <c r="N3" s="12"/>
      <c r="O3" s="13"/>
    </row>
    <row r="4" customFormat="false" ht="15" hidden="false" customHeight="false" outlineLevel="0" collapsed="false">
      <c r="A4" s="12" t="s">
        <v>71</v>
      </c>
      <c r="B4" s="13" t="s">
        <v>19</v>
      </c>
      <c r="C4" s="13" t="s">
        <v>72</v>
      </c>
      <c r="D4" s="13" t="s">
        <v>73</v>
      </c>
      <c r="E4" s="13" t="s">
        <v>68</v>
      </c>
      <c r="F4" s="13" t="s">
        <v>74</v>
      </c>
      <c r="G4" s="13" t="s">
        <v>61</v>
      </c>
      <c r="H4" s="13" t="s">
        <v>75</v>
      </c>
      <c r="I4" s="12" t="s">
        <v>43</v>
      </c>
      <c r="J4" s="12" t="s">
        <v>63</v>
      </c>
      <c r="K4" s="13"/>
      <c r="L4" s="12" t="s">
        <v>16</v>
      </c>
      <c r="M4" s="12"/>
      <c r="N4" s="12"/>
      <c r="O4" s="13"/>
    </row>
    <row r="5" customFormat="false" ht="23.85" hidden="false" customHeight="false" outlineLevel="0" collapsed="false">
      <c r="A5" s="12" t="s">
        <v>76</v>
      </c>
      <c r="B5" s="13" t="s">
        <v>19</v>
      </c>
      <c r="C5" s="13" t="s">
        <v>66</v>
      </c>
      <c r="D5" s="13" t="s">
        <v>77</v>
      </c>
      <c r="E5" s="13" t="s">
        <v>68</v>
      </c>
      <c r="F5" s="13" t="s">
        <v>78</v>
      </c>
      <c r="G5" s="13" t="s">
        <v>61</v>
      </c>
      <c r="H5" s="13" t="s">
        <v>79</v>
      </c>
      <c r="I5" s="12" t="s">
        <v>80</v>
      </c>
      <c r="J5" s="12" t="s">
        <v>81</v>
      </c>
      <c r="K5" s="13"/>
      <c r="L5" s="12" t="s">
        <v>16</v>
      </c>
      <c r="M5" s="12"/>
      <c r="N5" s="12"/>
      <c r="O5" s="13" t="s">
        <v>82</v>
      </c>
    </row>
    <row r="6" customFormat="false" ht="23.85" hidden="false" customHeight="false" outlineLevel="0" collapsed="false">
      <c r="A6" s="12" t="s">
        <v>83</v>
      </c>
      <c r="B6" s="13" t="s">
        <v>20</v>
      </c>
      <c r="C6" s="13" t="s">
        <v>20</v>
      </c>
      <c r="D6" s="13" t="s">
        <v>84</v>
      </c>
      <c r="E6" s="13" t="s">
        <v>85</v>
      </c>
      <c r="F6" s="13" t="s">
        <v>86</v>
      </c>
      <c r="G6" s="13" t="s">
        <v>87</v>
      </c>
      <c r="H6" s="13" t="s">
        <v>88</v>
      </c>
      <c r="I6" s="12" t="s">
        <v>43</v>
      </c>
      <c r="J6" s="12" t="s">
        <v>63</v>
      </c>
      <c r="K6" s="13"/>
      <c r="L6" s="12" t="s">
        <v>16</v>
      </c>
      <c r="M6" s="12"/>
      <c r="N6" s="12"/>
      <c r="O6" s="13" t="s">
        <v>89</v>
      </c>
    </row>
    <row r="7" customFormat="false" ht="23.85" hidden="false" customHeight="false" outlineLevel="0" collapsed="false">
      <c r="A7" s="12" t="s">
        <v>90</v>
      </c>
      <c r="B7" s="13" t="s">
        <v>20</v>
      </c>
      <c r="C7" s="13" t="s">
        <v>20</v>
      </c>
      <c r="D7" s="13" t="s">
        <v>91</v>
      </c>
      <c r="E7" s="13" t="s">
        <v>85</v>
      </c>
      <c r="F7" s="13" t="s">
        <v>92</v>
      </c>
      <c r="G7" s="13" t="s">
        <v>93</v>
      </c>
      <c r="H7" s="13" t="s">
        <v>94</v>
      </c>
      <c r="I7" s="12" t="s">
        <v>43</v>
      </c>
      <c r="J7" s="12" t="s">
        <v>63</v>
      </c>
      <c r="K7" s="13"/>
      <c r="L7" s="12" t="s">
        <v>16</v>
      </c>
      <c r="M7" s="12"/>
      <c r="N7" s="12"/>
      <c r="O7" s="13"/>
    </row>
    <row r="8" customFormat="false" ht="23.85" hidden="false" customHeight="false" outlineLevel="0" collapsed="false">
      <c r="A8" s="12" t="s">
        <v>95</v>
      </c>
      <c r="B8" s="13" t="s">
        <v>20</v>
      </c>
      <c r="C8" s="13" t="s">
        <v>20</v>
      </c>
      <c r="D8" s="13" t="s">
        <v>96</v>
      </c>
      <c r="E8" s="13" t="s">
        <v>85</v>
      </c>
      <c r="F8" s="13" t="s">
        <v>97</v>
      </c>
      <c r="G8" s="13" t="s">
        <v>98</v>
      </c>
      <c r="H8" s="13" t="s">
        <v>99</v>
      </c>
      <c r="I8" s="12" t="s">
        <v>43</v>
      </c>
      <c r="J8" s="12" t="s">
        <v>63</v>
      </c>
      <c r="K8" s="13"/>
      <c r="L8" s="12" t="s">
        <v>16</v>
      </c>
      <c r="M8" s="12"/>
      <c r="N8" s="12"/>
      <c r="O8" s="13"/>
    </row>
    <row r="9" customFormat="false" ht="23.85" hidden="false" customHeight="false" outlineLevel="0" collapsed="false">
      <c r="A9" s="12" t="s">
        <v>100</v>
      </c>
      <c r="B9" s="13" t="s">
        <v>20</v>
      </c>
      <c r="C9" s="13" t="s">
        <v>20</v>
      </c>
      <c r="D9" s="13" t="s">
        <v>101</v>
      </c>
      <c r="E9" s="13" t="s">
        <v>85</v>
      </c>
      <c r="F9" s="13" t="s">
        <v>102</v>
      </c>
      <c r="G9" s="13" t="s">
        <v>103</v>
      </c>
      <c r="H9" s="13" t="s">
        <v>104</v>
      </c>
      <c r="I9" s="12" t="s">
        <v>43</v>
      </c>
      <c r="J9" s="12" t="s">
        <v>63</v>
      </c>
      <c r="K9" s="13"/>
      <c r="L9" s="12" t="s">
        <v>16</v>
      </c>
      <c r="M9" s="12"/>
      <c r="N9" s="12"/>
      <c r="O9" s="13"/>
    </row>
    <row r="10" customFormat="false" ht="35.05" hidden="false" customHeight="false" outlineLevel="0" collapsed="false">
      <c r="A10" s="12" t="s">
        <v>105</v>
      </c>
      <c r="B10" s="13" t="s">
        <v>20</v>
      </c>
      <c r="C10" s="13" t="s">
        <v>20</v>
      </c>
      <c r="D10" s="13" t="s">
        <v>106</v>
      </c>
      <c r="E10" s="13" t="s">
        <v>107</v>
      </c>
      <c r="F10" s="13" t="s">
        <v>108</v>
      </c>
      <c r="G10" s="13" t="s">
        <v>61</v>
      </c>
      <c r="H10" s="13" t="s">
        <v>109</v>
      </c>
      <c r="I10" s="12" t="s">
        <v>43</v>
      </c>
      <c r="J10" s="12" t="s">
        <v>81</v>
      </c>
      <c r="K10" s="13"/>
      <c r="L10" s="12" t="s">
        <v>16</v>
      </c>
      <c r="M10" s="12"/>
      <c r="N10" s="12"/>
      <c r="O10" s="13"/>
    </row>
    <row r="11" customFormat="false" ht="23.85" hidden="false" customHeight="false" outlineLevel="0" collapsed="false">
      <c r="A11" s="12" t="s">
        <v>110</v>
      </c>
      <c r="B11" s="13" t="s">
        <v>20</v>
      </c>
      <c r="C11" s="13" t="s">
        <v>20</v>
      </c>
      <c r="D11" s="13" t="s">
        <v>111</v>
      </c>
      <c r="E11" s="13" t="s">
        <v>112</v>
      </c>
      <c r="F11" s="13" t="s">
        <v>113</v>
      </c>
      <c r="G11" s="13" t="s">
        <v>61</v>
      </c>
      <c r="H11" s="13" t="s">
        <v>114</v>
      </c>
      <c r="I11" s="12" t="s">
        <v>43</v>
      </c>
      <c r="J11" s="12" t="s">
        <v>81</v>
      </c>
      <c r="K11" s="13"/>
      <c r="L11" s="12" t="s">
        <v>16</v>
      </c>
      <c r="M11" s="12"/>
      <c r="N11" s="12"/>
      <c r="O11" s="13"/>
    </row>
    <row r="12" customFormat="false" ht="15" hidden="false" customHeight="false" outlineLevel="0" collapsed="false">
      <c r="A12" s="12" t="s">
        <v>115</v>
      </c>
      <c r="B12" s="13" t="s">
        <v>20</v>
      </c>
      <c r="C12" s="13" t="s">
        <v>20</v>
      </c>
      <c r="D12" s="13" t="s">
        <v>116</v>
      </c>
      <c r="E12" s="13" t="s">
        <v>85</v>
      </c>
      <c r="F12" s="13" t="s">
        <v>117</v>
      </c>
      <c r="G12" s="13" t="s">
        <v>61</v>
      </c>
      <c r="H12" s="13" t="s">
        <v>118</v>
      </c>
      <c r="I12" s="12" t="s">
        <v>80</v>
      </c>
      <c r="J12" s="12" t="s">
        <v>119</v>
      </c>
      <c r="K12" s="13"/>
      <c r="L12" s="12" t="s">
        <v>16</v>
      </c>
      <c r="M12" s="12"/>
      <c r="N12" s="12"/>
      <c r="O12" s="13"/>
    </row>
    <row r="13" customFormat="false" ht="15" hidden="false" customHeight="false" outlineLevel="0" collapsed="false">
      <c r="A13" s="12" t="s">
        <v>120</v>
      </c>
      <c r="B13" s="13" t="s">
        <v>21</v>
      </c>
      <c r="C13" s="13" t="s">
        <v>121</v>
      </c>
      <c r="D13" s="13" t="s">
        <v>122</v>
      </c>
      <c r="E13" s="13" t="s">
        <v>123</v>
      </c>
      <c r="F13" s="13" t="s">
        <v>124</v>
      </c>
      <c r="G13" s="13" t="s">
        <v>61</v>
      </c>
      <c r="H13" s="13" t="s">
        <v>125</v>
      </c>
      <c r="I13" s="12" t="s">
        <v>43</v>
      </c>
      <c r="J13" s="12" t="s">
        <v>63</v>
      </c>
      <c r="K13" s="13"/>
      <c r="L13" s="12" t="s">
        <v>16</v>
      </c>
      <c r="M13" s="12"/>
      <c r="N13" s="12"/>
      <c r="O13" s="13"/>
    </row>
    <row r="14" customFormat="false" ht="15" hidden="false" customHeight="false" outlineLevel="0" collapsed="false">
      <c r="A14" s="12" t="s">
        <v>126</v>
      </c>
      <c r="B14" s="13" t="s">
        <v>21</v>
      </c>
      <c r="C14" s="13" t="s">
        <v>121</v>
      </c>
      <c r="D14" s="13" t="s">
        <v>127</v>
      </c>
      <c r="E14" s="13" t="s">
        <v>128</v>
      </c>
      <c r="F14" s="13" t="s">
        <v>129</v>
      </c>
      <c r="G14" s="13" t="s">
        <v>61</v>
      </c>
      <c r="H14" s="13" t="s">
        <v>130</v>
      </c>
      <c r="I14" s="12" t="s">
        <v>43</v>
      </c>
      <c r="J14" s="12" t="s">
        <v>63</v>
      </c>
      <c r="K14" s="13"/>
      <c r="L14" s="12" t="s">
        <v>16</v>
      </c>
      <c r="M14" s="12"/>
      <c r="N14" s="12"/>
      <c r="O14" s="13"/>
    </row>
    <row r="15" customFormat="false" ht="15" hidden="false" customHeight="false" outlineLevel="0" collapsed="false">
      <c r="A15" s="12" t="s">
        <v>131</v>
      </c>
      <c r="B15" s="13" t="s">
        <v>21</v>
      </c>
      <c r="C15" s="13" t="s">
        <v>121</v>
      </c>
      <c r="D15" s="13" t="s">
        <v>132</v>
      </c>
      <c r="E15" s="13" t="s">
        <v>128</v>
      </c>
      <c r="F15" s="13" t="s">
        <v>133</v>
      </c>
      <c r="G15" s="13" t="s">
        <v>61</v>
      </c>
      <c r="H15" s="13" t="s">
        <v>130</v>
      </c>
      <c r="I15" s="12" t="s">
        <v>43</v>
      </c>
      <c r="J15" s="12" t="s">
        <v>63</v>
      </c>
      <c r="K15" s="13"/>
      <c r="L15" s="12" t="s">
        <v>16</v>
      </c>
      <c r="M15" s="12"/>
      <c r="N15" s="12"/>
      <c r="O15" s="13"/>
    </row>
    <row r="16" customFormat="false" ht="23.85" hidden="false" customHeight="false" outlineLevel="0" collapsed="false">
      <c r="A16" s="12" t="s">
        <v>134</v>
      </c>
      <c r="B16" s="13" t="s">
        <v>21</v>
      </c>
      <c r="C16" s="13" t="s">
        <v>121</v>
      </c>
      <c r="D16" s="13" t="s">
        <v>135</v>
      </c>
      <c r="E16" s="13" t="s">
        <v>136</v>
      </c>
      <c r="F16" s="13" t="s">
        <v>137</v>
      </c>
      <c r="G16" s="13" t="s">
        <v>61</v>
      </c>
      <c r="H16" s="13" t="s">
        <v>138</v>
      </c>
      <c r="I16" s="12" t="s">
        <v>43</v>
      </c>
      <c r="J16" s="12" t="s">
        <v>63</v>
      </c>
      <c r="K16" s="13"/>
      <c r="L16" s="12" t="s">
        <v>16</v>
      </c>
      <c r="M16" s="12"/>
      <c r="N16" s="12"/>
      <c r="O16" s="13" t="s">
        <v>139</v>
      </c>
    </row>
    <row r="17" customFormat="false" ht="15" hidden="false" customHeight="false" outlineLevel="0" collapsed="false">
      <c r="A17" s="12" t="s">
        <v>140</v>
      </c>
      <c r="B17" s="13" t="s">
        <v>21</v>
      </c>
      <c r="C17" s="13" t="s">
        <v>121</v>
      </c>
      <c r="D17" s="13" t="s">
        <v>141</v>
      </c>
      <c r="E17" s="13" t="s">
        <v>128</v>
      </c>
      <c r="F17" s="13" t="s">
        <v>142</v>
      </c>
      <c r="G17" s="13" t="s">
        <v>61</v>
      </c>
      <c r="H17" s="13" t="s">
        <v>143</v>
      </c>
      <c r="I17" s="12" t="s">
        <v>43</v>
      </c>
      <c r="J17" s="12" t="s">
        <v>81</v>
      </c>
      <c r="K17" s="13"/>
      <c r="L17" s="12" t="s">
        <v>16</v>
      </c>
      <c r="M17" s="12"/>
      <c r="N17" s="12"/>
      <c r="O17" s="13"/>
    </row>
    <row r="18" customFormat="false" ht="23.85" hidden="false" customHeight="false" outlineLevel="0" collapsed="false">
      <c r="A18" s="12" t="s">
        <v>144</v>
      </c>
      <c r="B18" s="13" t="s">
        <v>21</v>
      </c>
      <c r="C18" s="13" t="s">
        <v>121</v>
      </c>
      <c r="D18" s="13" t="s">
        <v>145</v>
      </c>
      <c r="E18" s="13" t="s">
        <v>128</v>
      </c>
      <c r="F18" s="13" t="s">
        <v>146</v>
      </c>
      <c r="G18" s="13" t="s">
        <v>61</v>
      </c>
      <c r="H18" s="13" t="s">
        <v>147</v>
      </c>
      <c r="I18" s="12" t="s">
        <v>80</v>
      </c>
      <c r="J18" s="12" t="s">
        <v>81</v>
      </c>
      <c r="K18" s="13"/>
      <c r="L18" s="12" t="s">
        <v>16</v>
      </c>
      <c r="M18" s="12"/>
      <c r="N18" s="12"/>
      <c r="O18" s="13"/>
    </row>
    <row r="19" customFormat="false" ht="23.85" hidden="false" customHeight="false" outlineLevel="0" collapsed="false">
      <c r="A19" s="12" t="s">
        <v>148</v>
      </c>
      <c r="B19" s="13" t="s">
        <v>21</v>
      </c>
      <c r="C19" s="13" t="s">
        <v>121</v>
      </c>
      <c r="D19" s="13" t="s">
        <v>149</v>
      </c>
      <c r="E19" s="13" t="s">
        <v>150</v>
      </c>
      <c r="F19" s="13" t="s">
        <v>124</v>
      </c>
      <c r="G19" s="13" t="s">
        <v>61</v>
      </c>
      <c r="H19" s="13" t="s">
        <v>151</v>
      </c>
      <c r="I19" s="12" t="s">
        <v>80</v>
      </c>
      <c r="J19" s="12" t="s">
        <v>81</v>
      </c>
      <c r="K19" s="13"/>
      <c r="L19" s="12" t="s">
        <v>16</v>
      </c>
      <c r="M19" s="12"/>
      <c r="N19" s="12"/>
      <c r="O19" s="13"/>
    </row>
    <row r="20" customFormat="false" ht="46.25" hidden="false" customHeight="false" outlineLevel="0" collapsed="false">
      <c r="A20" s="12" t="s">
        <v>152</v>
      </c>
      <c r="B20" s="13" t="s">
        <v>21</v>
      </c>
      <c r="C20" s="13" t="s">
        <v>121</v>
      </c>
      <c r="D20" s="13" t="s">
        <v>153</v>
      </c>
      <c r="E20" s="13" t="s">
        <v>154</v>
      </c>
      <c r="F20" s="13" t="s">
        <v>155</v>
      </c>
      <c r="G20" s="13" t="s">
        <v>61</v>
      </c>
      <c r="H20" s="13" t="s">
        <v>156</v>
      </c>
      <c r="I20" s="12" t="s">
        <v>157</v>
      </c>
      <c r="J20" s="12" t="s">
        <v>119</v>
      </c>
      <c r="K20" s="13"/>
      <c r="L20" s="12" t="s">
        <v>16</v>
      </c>
      <c r="M20" s="12"/>
      <c r="N20" s="12"/>
      <c r="O20" s="13"/>
    </row>
    <row r="21" customFormat="false" ht="23.85" hidden="false" customHeight="false" outlineLevel="0" collapsed="false">
      <c r="A21" s="12" t="s">
        <v>158</v>
      </c>
      <c r="B21" s="13" t="s">
        <v>22</v>
      </c>
      <c r="C21" s="13" t="s">
        <v>22</v>
      </c>
      <c r="D21" s="13" t="s">
        <v>159</v>
      </c>
      <c r="E21" s="13" t="s">
        <v>160</v>
      </c>
      <c r="F21" s="13" t="s">
        <v>161</v>
      </c>
      <c r="G21" s="13" t="s">
        <v>61</v>
      </c>
      <c r="H21" s="13" t="s">
        <v>162</v>
      </c>
      <c r="I21" s="12" t="s">
        <v>43</v>
      </c>
      <c r="J21" s="12" t="s">
        <v>63</v>
      </c>
      <c r="K21" s="13"/>
      <c r="L21" s="12" t="s">
        <v>16</v>
      </c>
      <c r="M21" s="12"/>
      <c r="N21" s="12"/>
      <c r="O21" s="13"/>
    </row>
    <row r="22" customFormat="false" ht="15" hidden="false" customHeight="false" outlineLevel="0" collapsed="false">
      <c r="A22" s="12" t="s">
        <v>163</v>
      </c>
      <c r="B22" s="13" t="s">
        <v>22</v>
      </c>
      <c r="C22" s="13" t="s">
        <v>22</v>
      </c>
      <c r="D22" s="13" t="s">
        <v>164</v>
      </c>
      <c r="E22" s="13" t="s">
        <v>165</v>
      </c>
      <c r="F22" s="13" t="s">
        <v>166</v>
      </c>
      <c r="G22" s="13" t="s">
        <v>61</v>
      </c>
      <c r="H22" s="13" t="s">
        <v>167</v>
      </c>
      <c r="I22" s="12" t="s">
        <v>43</v>
      </c>
      <c r="J22" s="12" t="s">
        <v>63</v>
      </c>
      <c r="K22" s="13"/>
      <c r="L22" s="12" t="s">
        <v>16</v>
      </c>
      <c r="M22" s="12"/>
      <c r="N22" s="12"/>
      <c r="O22" s="13"/>
    </row>
    <row r="23" customFormat="false" ht="15" hidden="false" customHeight="false" outlineLevel="0" collapsed="false">
      <c r="A23" s="12" t="s">
        <v>168</v>
      </c>
      <c r="B23" s="13" t="s">
        <v>22</v>
      </c>
      <c r="C23" s="13" t="s">
        <v>22</v>
      </c>
      <c r="D23" s="13" t="s">
        <v>141</v>
      </c>
      <c r="E23" s="13" t="s">
        <v>165</v>
      </c>
      <c r="F23" s="13" t="s">
        <v>142</v>
      </c>
      <c r="G23" s="13" t="s">
        <v>61</v>
      </c>
      <c r="H23" s="13" t="s">
        <v>143</v>
      </c>
      <c r="I23" s="12" t="s">
        <v>43</v>
      </c>
      <c r="J23" s="12" t="s">
        <v>81</v>
      </c>
      <c r="K23" s="13"/>
      <c r="L23" s="12" t="s">
        <v>16</v>
      </c>
      <c r="M23" s="12"/>
      <c r="N23" s="12"/>
      <c r="O23" s="13"/>
    </row>
    <row r="24" customFormat="false" ht="23.85" hidden="false" customHeight="false" outlineLevel="0" collapsed="false">
      <c r="A24" s="12" t="s">
        <v>169</v>
      </c>
      <c r="B24" s="13" t="s">
        <v>22</v>
      </c>
      <c r="C24" s="13" t="s">
        <v>22</v>
      </c>
      <c r="D24" s="13" t="s">
        <v>170</v>
      </c>
      <c r="E24" s="13" t="s">
        <v>171</v>
      </c>
      <c r="F24" s="13" t="s">
        <v>172</v>
      </c>
      <c r="G24" s="13" t="s">
        <v>61</v>
      </c>
      <c r="H24" s="13" t="s">
        <v>173</v>
      </c>
      <c r="I24" s="12" t="s">
        <v>80</v>
      </c>
      <c r="J24" s="12" t="s">
        <v>81</v>
      </c>
      <c r="K24" s="13"/>
      <c r="L24" s="12" t="s">
        <v>16</v>
      </c>
      <c r="M24" s="12"/>
      <c r="N24" s="12"/>
      <c r="O24" s="13"/>
    </row>
    <row r="25" customFormat="false" ht="23.85" hidden="false" customHeight="false" outlineLevel="0" collapsed="false">
      <c r="A25" s="12" t="s">
        <v>174</v>
      </c>
      <c r="B25" s="13" t="s">
        <v>22</v>
      </c>
      <c r="C25" s="13" t="s">
        <v>22</v>
      </c>
      <c r="D25" s="13" t="s">
        <v>175</v>
      </c>
      <c r="E25" s="13" t="s">
        <v>176</v>
      </c>
      <c r="F25" s="13" t="s">
        <v>177</v>
      </c>
      <c r="G25" s="13" t="s">
        <v>61</v>
      </c>
      <c r="H25" s="13" t="s">
        <v>178</v>
      </c>
      <c r="I25" s="12" t="s">
        <v>80</v>
      </c>
      <c r="J25" s="12" t="s">
        <v>81</v>
      </c>
      <c r="K25" s="13"/>
      <c r="L25" s="12" t="s">
        <v>16</v>
      </c>
      <c r="M25" s="12"/>
      <c r="N25" s="12"/>
      <c r="O25" s="13"/>
    </row>
    <row r="26" customFormat="false" ht="23.85" hidden="false" customHeight="false" outlineLevel="0" collapsed="false">
      <c r="A26" s="12" t="s">
        <v>179</v>
      </c>
      <c r="B26" s="13" t="s">
        <v>23</v>
      </c>
      <c r="C26" s="13" t="s">
        <v>180</v>
      </c>
      <c r="D26" s="13" t="s">
        <v>181</v>
      </c>
      <c r="E26" s="13" t="s">
        <v>182</v>
      </c>
      <c r="F26" s="13" t="s">
        <v>183</v>
      </c>
      <c r="G26" s="13" t="s">
        <v>61</v>
      </c>
      <c r="H26" s="13" t="s">
        <v>184</v>
      </c>
      <c r="I26" s="12" t="s">
        <v>43</v>
      </c>
      <c r="J26" s="12" t="s">
        <v>63</v>
      </c>
      <c r="K26" s="13"/>
      <c r="L26" s="12" t="s">
        <v>16</v>
      </c>
      <c r="M26" s="12"/>
      <c r="N26" s="12"/>
      <c r="O26" s="13"/>
    </row>
    <row r="27" customFormat="false" ht="23.85" hidden="false" customHeight="false" outlineLevel="0" collapsed="false">
      <c r="A27" s="12" t="s">
        <v>185</v>
      </c>
      <c r="B27" s="13" t="s">
        <v>23</v>
      </c>
      <c r="C27" s="13" t="s">
        <v>180</v>
      </c>
      <c r="D27" s="13" t="s">
        <v>186</v>
      </c>
      <c r="E27" s="13" t="s">
        <v>187</v>
      </c>
      <c r="F27" s="13" t="s">
        <v>188</v>
      </c>
      <c r="G27" s="13" t="s">
        <v>61</v>
      </c>
      <c r="H27" s="13" t="s">
        <v>189</v>
      </c>
      <c r="I27" s="12" t="s">
        <v>157</v>
      </c>
      <c r="J27" s="12" t="s">
        <v>81</v>
      </c>
      <c r="K27" s="13"/>
      <c r="L27" s="12" t="s">
        <v>16</v>
      </c>
      <c r="M27" s="12"/>
      <c r="N27" s="12"/>
      <c r="O27" s="13"/>
    </row>
    <row r="28" customFormat="false" ht="15" hidden="false" customHeight="false" outlineLevel="0" collapsed="false">
      <c r="A28" s="12" t="s">
        <v>190</v>
      </c>
      <c r="B28" s="13" t="s">
        <v>23</v>
      </c>
      <c r="C28" s="13" t="s">
        <v>180</v>
      </c>
      <c r="D28" s="13" t="s">
        <v>191</v>
      </c>
      <c r="E28" s="13" t="s">
        <v>61</v>
      </c>
      <c r="F28" s="13" t="s">
        <v>192</v>
      </c>
      <c r="G28" s="13" t="s">
        <v>61</v>
      </c>
      <c r="H28" s="13" t="s">
        <v>193</v>
      </c>
      <c r="I28" s="12" t="s">
        <v>157</v>
      </c>
      <c r="J28" s="12" t="s">
        <v>119</v>
      </c>
      <c r="K28" s="13"/>
      <c r="L28" s="12" t="s">
        <v>16</v>
      </c>
      <c r="M28" s="12"/>
      <c r="N28" s="12"/>
      <c r="O28" s="13"/>
    </row>
    <row r="29" customFormat="false" ht="23.85" hidden="false" customHeight="false" outlineLevel="0" collapsed="false">
      <c r="A29" s="12" t="s">
        <v>194</v>
      </c>
      <c r="B29" s="13" t="s">
        <v>23</v>
      </c>
      <c r="C29" s="13" t="s">
        <v>180</v>
      </c>
      <c r="D29" s="13" t="s">
        <v>195</v>
      </c>
      <c r="E29" s="13" t="s">
        <v>61</v>
      </c>
      <c r="F29" s="13" t="s">
        <v>196</v>
      </c>
      <c r="G29" s="13" t="s">
        <v>61</v>
      </c>
      <c r="H29" s="13" t="s">
        <v>197</v>
      </c>
      <c r="I29" s="12" t="s">
        <v>43</v>
      </c>
      <c r="J29" s="12" t="s">
        <v>81</v>
      </c>
      <c r="K29" s="13"/>
      <c r="L29" s="12" t="s">
        <v>16</v>
      </c>
      <c r="M29" s="12"/>
      <c r="N29" s="12"/>
      <c r="O29" s="13"/>
    </row>
    <row r="30" customFormat="false" ht="15" hidden="false" customHeight="false" outlineLevel="0" collapsed="false">
      <c r="A30" s="12" t="s">
        <v>198</v>
      </c>
      <c r="B30" s="13" t="s">
        <v>23</v>
      </c>
      <c r="C30" s="13" t="s">
        <v>180</v>
      </c>
      <c r="D30" s="13" t="s">
        <v>199</v>
      </c>
      <c r="E30" s="13" t="s">
        <v>61</v>
      </c>
      <c r="F30" s="13" t="s">
        <v>200</v>
      </c>
      <c r="G30" s="13" t="s">
        <v>61</v>
      </c>
      <c r="H30" s="13" t="s">
        <v>201</v>
      </c>
      <c r="I30" s="12" t="s">
        <v>43</v>
      </c>
      <c r="J30" s="12" t="s">
        <v>63</v>
      </c>
      <c r="K30" s="13"/>
      <c r="L30" s="12" t="s">
        <v>16</v>
      </c>
      <c r="M30" s="12"/>
      <c r="N30" s="12"/>
      <c r="O30" s="13"/>
    </row>
    <row r="31" customFormat="false" ht="23.85" hidden="false" customHeight="false" outlineLevel="0" collapsed="false">
      <c r="A31" s="12" t="s">
        <v>202</v>
      </c>
      <c r="B31" s="13" t="s">
        <v>23</v>
      </c>
      <c r="C31" s="13" t="s">
        <v>180</v>
      </c>
      <c r="D31" s="13" t="s">
        <v>203</v>
      </c>
      <c r="E31" s="13" t="s">
        <v>25</v>
      </c>
      <c r="F31" s="13" t="s">
        <v>204</v>
      </c>
      <c r="G31" s="13" t="s">
        <v>61</v>
      </c>
      <c r="H31" s="13" t="s">
        <v>205</v>
      </c>
      <c r="I31" s="12" t="s">
        <v>43</v>
      </c>
      <c r="J31" s="12" t="s">
        <v>81</v>
      </c>
      <c r="K31" s="13"/>
      <c r="L31" s="12" t="s">
        <v>16</v>
      </c>
      <c r="M31" s="12"/>
      <c r="N31" s="12"/>
      <c r="O31" s="13"/>
    </row>
    <row r="32" customFormat="false" ht="23.85" hidden="false" customHeight="false" outlineLevel="0" collapsed="false">
      <c r="A32" s="12" t="s">
        <v>206</v>
      </c>
      <c r="B32" s="13" t="s">
        <v>23</v>
      </c>
      <c r="C32" s="13" t="s">
        <v>180</v>
      </c>
      <c r="D32" s="13" t="s">
        <v>207</v>
      </c>
      <c r="E32" s="13" t="s">
        <v>208</v>
      </c>
      <c r="F32" s="13" t="s">
        <v>209</v>
      </c>
      <c r="G32" s="13" t="s">
        <v>61</v>
      </c>
      <c r="H32" s="13" t="s">
        <v>210</v>
      </c>
      <c r="I32" s="12" t="s">
        <v>43</v>
      </c>
      <c r="J32" s="12" t="s">
        <v>81</v>
      </c>
      <c r="K32" s="13"/>
      <c r="L32" s="12" t="s">
        <v>16</v>
      </c>
      <c r="M32" s="12"/>
      <c r="N32" s="12"/>
      <c r="O32" s="13"/>
    </row>
    <row r="33" customFormat="false" ht="15" hidden="false" customHeight="false" outlineLevel="0" collapsed="false">
      <c r="A33" s="12" t="s">
        <v>211</v>
      </c>
      <c r="B33" s="13" t="s">
        <v>24</v>
      </c>
      <c r="C33" s="13" t="s">
        <v>212</v>
      </c>
      <c r="D33" s="13" t="s">
        <v>213</v>
      </c>
      <c r="E33" s="13" t="s">
        <v>214</v>
      </c>
      <c r="F33" s="13" t="s">
        <v>215</v>
      </c>
      <c r="G33" s="13" t="s">
        <v>216</v>
      </c>
      <c r="H33" s="13" t="s">
        <v>217</v>
      </c>
      <c r="I33" s="12" t="s">
        <v>43</v>
      </c>
      <c r="J33" s="12" t="s">
        <v>63</v>
      </c>
      <c r="K33" s="13"/>
      <c r="L33" s="12" t="s">
        <v>16</v>
      </c>
      <c r="M33" s="12"/>
      <c r="N33" s="12"/>
      <c r="O33" s="13"/>
    </row>
    <row r="34" customFormat="false" ht="15" hidden="false" customHeight="false" outlineLevel="0" collapsed="false">
      <c r="A34" s="12" t="s">
        <v>218</v>
      </c>
      <c r="B34" s="13" t="s">
        <v>24</v>
      </c>
      <c r="C34" s="13" t="s">
        <v>212</v>
      </c>
      <c r="D34" s="13" t="s">
        <v>219</v>
      </c>
      <c r="E34" s="13" t="s">
        <v>220</v>
      </c>
      <c r="F34" s="13" t="s">
        <v>221</v>
      </c>
      <c r="G34" s="13" t="s">
        <v>222</v>
      </c>
      <c r="H34" s="13" t="s">
        <v>223</v>
      </c>
      <c r="I34" s="12" t="s">
        <v>157</v>
      </c>
      <c r="J34" s="12" t="s">
        <v>63</v>
      </c>
      <c r="K34" s="13"/>
      <c r="L34" s="12" t="s">
        <v>16</v>
      </c>
      <c r="M34" s="12"/>
      <c r="N34" s="12"/>
      <c r="O34" s="13"/>
    </row>
    <row r="35" customFormat="false" ht="15" hidden="false" customHeight="false" outlineLevel="0" collapsed="false">
      <c r="A35" s="12" t="s">
        <v>224</v>
      </c>
      <c r="B35" s="13" t="s">
        <v>24</v>
      </c>
      <c r="C35" s="13" t="s">
        <v>212</v>
      </c>
      <c r="D35" s="13" t="s">
        <v>225</v>
      </c>
      <c r="E35" s="13" t="s">
        <v>226</v>
      </c>
      <c r="F35" s="13" t="s">
        <v>227</v>
      </c>
      <c r="G35" s="13" t="s">
        <v>228</v>
      </c>
      <c r="H35" s="13" t="s">
        <v>229</v>
      </c>
      <c r="I35" s="12" t="s">
        <v>157</v>
      </c>
      <c r="J35" s="12" t="s">
        <v>81</v>
      </c>
      <c r="K35" s="13"/>
      <c r="L35" s="12" t="s">
        <v>16</v>
      </c>
      <c r="M35" s="12"/>
      <c r="N35" s="12"/>
      <c r="O35" s="13"/>
    </row>
    <row r="36" customFormat="false" ht="15" hidden="false" customHeight="false" outlineLevel="0" collapsed="false">
      <c r="A36" s="12" t="s">
        <v>230</v>
      </c>
      <c r="B36" s="13" t="s">
        <v>24</v>
      </c>
      <c r="C36" s="13" t="s">
        <v>212</v>
      </c>
      <c r="D36" s="13" t="s">
        <v>231</v>
      </c>
      <c r="E36" s="13" t="s">
        <v>232</v>
      </c>
      <c r="F36" s="13" t="s">
        <v>233</v>
      </c>
      <c r="G36" s="13" t="s">
        <v>216</v>
      </c>
      <c r="H36" s="13" t="s">
        <v>234</v>
      </c>
      <c r="I36" s="12" t="s">
        <v>43</v>
      </c>
      <c r="J36" s="12" t="s">
        <v>63</v>
      </c>
      <c r="K36" s="13"/>
      <c r="L36" s="12" t="s">
        <v>16</v>
      </c>
      <c r="M36" s="12"/>
      <c r="N36" s="12"/>
      <c r="O36" s="13"/>
    </row>
    <row r="37" customFormat="false" ht="23.85" hidden="false" customHeight="false" outlineLevel="0" collapsed="false">
      <c r="A37" s="12" t="s">
        <v>235</v>
      </c>
      <c r="B37" s="13" t="s">
        <v>24</v>
      </c>
      <c r="C37" s="13" t="s">
        <v>212</v>
      </c>
      <c r="D37" s="13" t="s">
        <v>236</v>
      </c>
      <c r="E37" s="13" t="s">
        <v>61</v>
      </c>
      <c r="F37" s="13" t="s">
        <v>237</v>
      </c>
      <c r="G37" s="13" t="s">
        <v>238</v>
      </c>
      <c r="H37" s="13" t="s">
        <v>239</v>
      </c>
      <c r="I37" s="12" t="s">
        <v>80</v>
      </c>
      <c r="J37" s="12" t="s">
        <v>119</v>
      </c>
      <c r="K37" s="13"/>
      <c r="L37" s="12" t="s">
        <v>16</v>
      </c>
      <c r="M37" s="12"/>
      <c r="N37" s="12"/>
      <c r="O37" s="13"/>
    </row>
    <row r="38" customFormat="false" ht="23.85" hidden="false" customHeight="false" outlineLevel="0" collapsed="false">
      <c r="A38" s="12" t="s">
        <v>240</v>
      </c>
      <c r="B38" s="13" t="s">
        <v>24</v>
      </c>
      <c r="C38" s="13" t="s">
        <v>241</v>
      </c>
      <c r="D38" s="13" t="s">
        <v>242</v>
      </c>
      <c r="E38" s="13" t="s">
        <v>243</v>
      </c>
      <c r="F38" s="13" t="s">
        <v>244</v>
      </c>
      <c r="G38" s="13" t="s">
        <v>61</v>
      </c>
      <c r="H38" s="13" t="s">
        <v>245</v>
      </c>
      <c r="I38" s="12" t="s">
        <v>43</v>
      </c>
      <c r="J38" s="12" t="s">
        <v>63</v>
      </c>
      <c r="K38" s="13"/>
      <c r="L38" s="12" t="s">
        <v>16</v>
      </c>
      <c r="M38" s="12"/>
      <c r="N38" s="12"/>
      <c r="O38" s="13"/>
    </row>
    <row r="39" customFormat="false" ht="35.05" hidden="false" customHeight="false" outlineLevel="0" collapsed="false">
      <c r="A39" s="12" t="s">
        <v>246</v>
      </c>
      <c r="B39" s="13" t="s">
        <v>24</v>
      </c>
      <c r="C39" s="13" t="s">
        <v>241</v>
      </c>
      <c r="D39" s="13" t="s">
        <v>247</v>
      </c>
      <c r="E39" s="13" t="s">
        <v>61</v>
      </c>
      <c r="F39" s="13" t="s">
        <v>248</v>
      </c>
      <c r="G39" s="13" t="s">
        <v>61</v>
      </c>
      <c r="H39" s="13" t="s">
        <v>249</v>
      </c>
      <c r="I39" s="12" t="s">
        <v>157</v>
      </c>
      <c r="J39" s="12" t="s">
        <v>81</v>
      </c>
      <c r="K39" s="13"/>
      <c r="L39" s="12" t="s">
        <v>16</v>
      </c>
      <c r="M39" s="12"/>
      <c r="N39" s="12"/>
      <c r="O39" s="13"/>
    </row>
    <row r="40" customFormat="false" ht="23.85" hidden="false" customHeight="false" outlineLevel="0" collapsed="false">
      <c r="A40" s="12" t="s">
        <v>250</v>
      </c>
      <c r="B40" s="13" t="s">
        <v>24</v>
      </c>
      <c r="C40" s="13" t="s">
        <v>251</v>
      </c>
      <c r="D40" s="13" t="s">
        <v>252</v>
      </c>
      <c r="E40" s="13" t="s">
        <v>253</v>
      </c>
      <c r="F40" s="13" t="s">
        <v>254</v>
      </c>
      <c r="G40" s="13" t="s">
        <v>255</v>
      </c>
      <c r="H40" s="13" t="s">
        <v>256</v>
      </c>
      <c r="I40" s="12" t="s">
        <v>43</v>
      </c>
      <c r="J40" s="12" t="s">
        <v>63</v>
      </c>
      <c r="K40" s="13"/>
      <c r="L40" s="12" t="s">
        <v>16</v>
      </c>
      <c r="M40" s="12"/>
      <c r="N40" s="12"/>
      <c r="O40" s="13"/>
    </row>
    <row r="41" customFormat="false" ht="15" hidden="false" customHeight="false" outlineLevel="0" collapsed="false">
      <c r="A41" s="12" t="s">
        <v>257</v>
      </c>
      <c r="B41" s="13" t="s">
        <v>24</v>
      </c>
      <c r="C41" s="13" t="s">
        <v>251</v>
      </c>
      <c r="D41" s="13" t="s">
        <v>258</v>
      </c>
      <c r="E41" s="13" t="s">
        <v>259</v>
      </c>
      <c r="F41" s="13" t="s">
        <v>260</v>
      </c>
      <c r="G41" s="13" t="s">
        <v>61</v>
      </c>
      <c r="H41" s="13" t="s">
        <v>261</v>
      </c>
      <c r="I41" s="12" t="s">
        <v>157</v>
      </c>
      <c r="J41" s="12" t="s">
        <v>63</v>
      </c>
      <c r="K41" s="13"/>
      <c r="L41" s="12" t="s">
        <v>16</v>
      </c>
      <c r="M41" s="12"/>
      <c r="N41" s="12"/>
      <c r="O41" s="13"/>
    </row>
    <row r="42" customFormat="false" ht="15" hidden="false" customHeight="false" outlineLevel="0" collapsed="false">
      <c r="A42" s="12" t="s">
        <v>262</v>
      </c>
      <c r="B42" s="13" t="s">
        <v>24</v>
      </c>
      <c r="C42" s="13" t="s">
        <v>251</v>
      </c>
      <c r="D42" s="13" t="s">
        <v>263</v>
      </c>
      <c r="E42" s="13" t="s">
        <v>61</v>
      </c>
      <c r="F42" s="13" t="s">
        <v>264</v>
      </c>
      <c r="G42" s="13" t="s">
        <v>61</v>
      </c>
      <c r="H42" s="13" t="s">
        <v>265</v>
      </c>
      <c r="I42" s="12" t="s">
        <v>157</v>
      </c>
      <c r="J42" s="12" t="s">
        <v>81</v>
      </c>
      <c r="K42" s="13"/>
      <c r="L42" s="12" t="s">
        <v>16</v>
      </c>
      <c r="M42" s="12"/>
      <c r="N42" s="12"/>
      <c r="O42" s="13"/>
    </row>
    <row r="43" customFormat="false" ht="23.85" hidden="false" customHeight="false" outlineLevel="0" collapsed="false">
      <c r="A43" s="12" t="s">
        <v>266</v>
      </c>
      <c r="B43" s="13" t="s">
        <v>24</v>
      </c>
      <c r="C43" s="13" t="s">
        <v>267</v>
      </c>
      <c r="D43" s="13" t="s">
        <v>268</v>
      </c>
      <c r="E43" s="13" t="s">
        <v>269</v>
      </c>
      <c r="F43" s="13" t="s">
        <v>233</v>
      </c>
      <c r="G43" s="13" t="s">
        <v>61</v>
      </c>
      <c r="H43" s="13" t="s">
        <v>270</v>
      </c>
      <c r="I43" s="12" t="s">
        <v>43</v>
      </c>
      <c r="J43" s="12" t="s">
        <v>63</v>
      </c>
      <c r="K43" s="13"/>
      <c r="L43" s="12" t="s">
        <v>16</v>
      </c>
      <c r="M43" s="12"/>
      <c r="N43" s="12"/>
      <c r="O43" s="13"/>
    </row>
    <row r="44" customFormat="false" ht="15" hidden="false" customHeight="false" outlineLevel="0" collapsed="false">
      <c r="A44" s="12" t="s">
        <v>271</v>
      </c>
      <c r="B44" s="13" t="s">
        <v>24</v>
      </c>
      <c r="C44" s="13" t="s">
        <v>267</v>
      </c>
      <c r="D44" s="13" t="s">
        <v>272</v>
      </c>
      <c r="E44" s="13" t="s">
        <v>269</v>
      </c>
      <c r="F44" s="13" t="s">
        <v>273</v>
      </c>
      <c r="G44" s="13" t="s">
        <v>61</v>
      </c>
      <c r="H44" s="13" t="s">
        <v>274</v>
      </c>
      <c r="I44" s="12" t="s">
        <v>157</v>
      </c>
      <c r="J44" s="12" t="s">
        <v>81</v>
      </c>
      <c r="K44" s="13"/>
      <c r="L44" s="12" t="s">
        <v>16</v>
      </c>
      <c r="M44" s="12"/>
      <c r="N44" s="12"/>
      <c r="O44" s="13"/>
    </row>
    <row r="45" customFormat="false" ht="23.85" hidden="false" customHeight="false" outlineLevel="0" collapsed="false">
      <c r="A45" s="12" t="s">
        <v>275</v>
      </c>
      <c r="B45" s="13" t="s">
        <v>24</v>
      </c>
      <c r="C45" s="13" t="s">
        <v>241</v>
      </c>
      <c r="D45" s="13" t="s">
        <v>276</v>
      </c>
      <c r="E45" s="13" t="s">
        <v>277</v>
      </c>
      <c r="F45" s="13" t="s">
        <v>278</v>
      </c>
      <c r="G45" s="13" t="s">
        <v>61</v>
      </c>
      <c r="H45" s="13" t="s">
        <v>279</v>
      </c>
      <c r="I45" s="12" t="s">
        <v>80</v>
      </c>
      <c r="J45" s="12" t="s">
        <v>63</v>
      </c>
      <c r="K45" s="13"/>
      <c r="L45" s="12" t="s">
        <v>16</v>
      </c>
      <c r="M45" s="12"/>
      <c r="N45" s="12"/>
      <c r="O45" s="13"/>
    </row>
    <row r="46" customFormat="false" ht="15" hidden="false" customHeight="false" outlineLevel="0" collapsed="false">
      <c r="A46" s="12" t="s">
        <v>280</v>
      </c>
      <c r="B46" s="13" t="s">
        <v>25</v>
      </c>
      <c r="C46" s="13" t="s">
        <v>281</v>
      </c>
      <c r="D46" s="13" t="s">
        <v>282</v>
      </c>
      <c r="E46" s="13" t="s">
        <v>283</v>
      </c>
      <c r="F46" s="13" t="s">
        <v>284</v>
      </c>
      <c r="G46" s="13" t="s">
        <v>61</v>
      </c>
      <c r="H46" s="13" t="s">
        <v>285</v>
      </c>
      <c r="I46" s="12" t="s">
        <v>43</v>
      </c>
      <c r="J46" s="12" t="s">
        <v>63</v>
      </c>
      <c r="K46" s="13"/>
      <c r="L46" s="12" t="s">
        <v>16</v>
      </c>
      <c r="M46" s="12"/>
      <c r="N46" s="12"/>
      <c r="O46" s="13"/>
    </row>
    <row r="47" customFormat="false" ht="23.85" hidden="false" customHeight="false" outlineLevel="0" collapsed="false">
      <c r="A47" s="12" t="s">
        <v>286</v>
      </c>
      <c r="B47" s="13" t="s">
        <v>25</v>
      </c>
      <c r="C47" s="13" t="s">
        <v>287</v>
      </c>
      <c r="D47" s="13" t="s">
        <v>288</v>
      </c>
      <c r="E47" s="13" t="s">
        <v>289</v>
      </c>
      <c r="F47" s="13" t="s">
        <v>290</v>
      </c>
      <c r="G47" s="13" t="s">
        <v>61</v>
      </c>
      <c r="H47" s="13" t="s">
        <v>291</v>
      </c>
      <c r="I47" s="12" t="s">
        <v>43</v>
      </c>
      <c r="J47" s="12" t="s">
        <v>63</v>
      </c>
      <c r="K47" s="13"/>
      <c r="L47" s="12" t="s">
        <v>16</v>
      </c>
      <c r="M47" s="12"/>
      <c r="N47" s="12"/>
      <c r="O47" s="13"/>
    </row>
    <row r="48" customFormat="false" ht="15" hidden="false" customHeight="false" outlineLevel="0" collapsed="false">
      <c r="A48" s="12" t="s">
        <v>292</v>
      </c>
      <c r="B48" s="13" t="s">
        <v>25</v>
      </c>
      <c r="C48" s="13" t="s">
        <v>287</v>
      </c>
      <c r="D48" s="13" t="s">
        <v>293</v>
      </c>
      <c r="E48" s="13" t="s">
        <v>294</v>
      </c>
      <c r="F48" s="13" t="s">
        <v>295</v>
      </c>
      <c r="G48" s="13" t="s">
        <v>61</v>
      </c>
      <c r="H48" s="13" t="s">
        <v>296</v>
      </c>
      <c r="I48" s="12" t="s">
        <v>43</v>
      </c>
      <c r="J48" s="12" t="s">
        <v>81</v>
      </c>
      <c r="K48" s="13"/>
      <c r="L48" s="12" t="s">
        <v>16</v>
      </c>
      <c r="M48" s="12"/>
      <c r="N48" s="12"/>
      <c r="O48" s="13"/>
    </row>
    <row r="49" customFormat="false" ht="23.85" hidden="false" customHeight="false" outlineLevel="0" collapsed="false">
      <c r="A49" s="12" t="s">
        <v>297</v>
      </c>
      <c r="B49" s="13" t="s">
        <v>25</v>
      </c>
      <c r="C49" s="13" t="s">
        <v>287</v>
      </c>
      <c r="D49" s="13" t="s">
        <v>298</v>
      </c>
      <c r="E49" s="13" t="s">
        <v>299</v>
      </c>
      <c r="F49" s="13" t="s">
        <v>300</v>
      </c>
      <c r="G49" s="13" t="s">
        <v>61</v>
      </c>
      <c r="H49" s="13" t="s">
        <v>301</v>
      </c>
      <c r="I49" s="12" t="s">
        <v>80</v>
      </c>
      <c r="J49" s="12" t="s">
        <v>81</v>
      </c>
      <c r="K49" s="13"/>
      <c r="L49" s="12" t="s">
        <v>16</v>
      </c>
      <c r="M49" s="12"/>
      <c r="N49" s="12"/>
      <c r="O49" s="13"/>
    </row>
    <row r="50" customFormat="false" ht="23.85" hidden="false" customHeight="false" outlineLevel="0" collapsed="false">
      <c r="A50" s="12" t="s">
        <v>302</v>
      </c>
      <c r="B50" s="13" t="s">
        <v>25</v>
      </c>
      <c r="C50" s="13" t="s">
        <v>287</v>
      </c>
      <c r="D50" s="13" t="s">
        <v>303</v>
      </c>
      <c r="E50" s="13" t="s">
        <v>61</v>
      </c>
      <c r="F50" s="13" t="s">
        <v>304</v>
      </c>
      <c r="G50" s="13" t="s">
        <v>61</v>
      </c>
      <c r="H50" s="13" t="s">
        <v>305</v>
      </c>
      <c r="I50" s="12" t="s">
        <v>80</v>
      </c>
      <c r="J50" s="12" t="s">
        <v>81</v>
      </c>
      <c r="K50" s="13"/>
      <c r="L50" s="12" t="s">
        <v>16</v>
      </c>
      <c r="M50" s="12"/>
      <c r="N50" s="12"/>
      <c r="O50" s="13"/>
    </row>
    <row r="51" customFormat="false" ht="23.85" hidden="false" customHeight="false" outlineLevel="0" collapsed="false">
      <c r="A51" s="12" t="s">
        <v>306</v>
      </c>
      <c r="B51" s="13" t="s">
        <v>25</v>
      </c>
      <c r="C51" s="13" t="s">
        <v>307</v>
      </c>
      <c r="D51" s="13" t="s">
        <v>308</v>
      </c>
      <c r="E51" s="13" t="s">
        <v>309</v>
      </c>
      <c r="F51" s="13" t="s">
        <v>310</v>
      </c>
      <c r="G51" s="13" t="s">
        <v>311</v>
      </c>
      <c r="H51" s="13" t="s">
        <v>312</v>
      </c>
      <c r="I51" s="12" t="s">
        <v>43</v>
      </c>
      <c r="J51" s="12" t="s">
        <v>63</v>
      </c>
      <c r="K51" s="13"/>
      <c r="L51" s="12" t="s">
        <v>16</v>
      </c>
      <c r="M51" s="12"/>
      <c r="N51" s="12"/>
      <c r="O51" s="13"/>
    </row>
    <row r="52" customFormat="false" ht="23.85" hidden="false" customHeight="false" outlineLevel="0" collapsed="false">
      <c r="A52" s="12" t="s">
        <v>313</v>
      </c>
      <c r="B52" s="13" t="s">
        <v>25</v>
      </c>
      <c r="C52" s="13" t="s">
        <v>307</v>
      </c>
      <c r="D52" s="13" t="s">
        <v>314</v>
      </c>
      <c r="E52" s="13" t="s">
        <v>315</v>
      </c>
      <c r="F52" s="13" t="s">
        <v>316</v>
      </c>
      <c r="G52" s="13" t="s">
        <v>61</v>
      </c>
      <c r="H52" s="13" t="s">
        <v>317</v>
      </c>
      <c r="I52" s="12" t="s">
        <v>43</v>
      </c>
      <c r="J52" s="12" t="s">
        <v>63</v>
      </c>
      <c r="K52" s="13"/>
      <c r="L52" s="12" t="s">
        <v>16</v>
      </c>
      <c r="M52" s="12"/>
      <c r="N52" s="12"/>
      <c r="O52" s="13"/>
    </row>
    <row r="53" customFormat="false" ht="35.05" hidden="false" customHeight="false" outlineLevel="0" collapsed="false">
      <c r="A53" s="12" t="s">
        <v>318</v>
      </c>
      <c r="B53" s="13" t="s">
        <v>25</v>
      </c>
      <c r="C53" s="13" t="s">
        <v>307</v>
      </c>
      <c r="D53" s="13" t="s">
        <v>319</v>
      </c>
      <c r="E53" s="13" t="s">
        <v>61</v>
      </c>
      <c r="F53" s="13" t="s">
        <v>320</v>
      </c>
      <c r="G53" s="13" t="s">
        <v>321</v>
      </c>
      <c r="H53" s="13" t="s">
        <v>322</v>
      </c>
      <c r="I53" s="12" t="s">
        <v>157</v>
      </c>
      <c r="J53" s="12" t="s">
        <v>63</v>
      </c>
      <c r="K53" s="13"/>
      <c r="L53" s="12" t="s">
        <v>16</v>
      </c>
      <c r="M53" s="12"/>
      <c r="N53" s="12"/>
      <c r="O53" s="13"/>
    </row>
    <row r="54" customFormat="false" ht="23.85" hidden="false" customHeight="false" outlineLevel="0" collapsed="false">
      <c r="A54" s="12" t="s">
        <v>323</v>
      </c>
      <c r="B54" s="13" t="s">
        <v>25</v>
      </c>
      <c r="C54" s="13" t="s">
        <v>307</v>
      </c>
      <c r="D54" s="13" t="s">
        <v>324</v>
      </c>
      <c r="E54" s="13" t="s">
        <v>61</v>
      </c>
      <c r="F54" s="13" t="s">
        <v>325</v>
      </c>
      <c r="G54" s="13" t="s">
        <v>61</v>
      </c>
      <c r="H54" s="13" t="s">
        <v>326</v>
      </c>
      <c r="I54" s="12" t="s">
        <v>80</v>
      </c>
      <c r="J54" s="12" t="s">
        <v>81</v>
      </c>
      <c r="K54" s="13"/>
      <c r="L54" s="12" t="s">
        <v>16</v>
      </c>
      <c r="M54" s="12"/>
      <c r="N54" s="12"/>
      <c r="O54" s="13"/>
    </row>
    <row r="55" customFormat="false" ht="15" hidden="false" customHeight="false" outlineLevel="0" collapsed="false">
      <c r="A55" s="12" t="s">
        <v>327</v>
      </c>
      <c r="B55" s="13" t="s">
        <v>25</v>
      </c>
      <c r="C55" s="13" t="s">
        <v>307</v>
      </c>
      <c r="D55" s="13" t="s">
        <v>328</v>
      </c>
      <c r="E55" s="13" t="s">
        <v>329</v>
      </c>
      <c r="F55" s="13" t="s">
        <v>330</v>
      </c>
      <c r="G55" s="13" t="s">
        <v>61</v>
      </c>
      <c r="H55" s="13" t="s">
        <v>331</v>
      </c>
      <c r="I55" s="12" t="s">
        <v>43</v>
      </c>
      <c r="J55" s="12" t="s">
        <v>119</v>
      </c>
      <c r="K55" s="13"/>
      <c r="L55" s="12" t="s">
        <v>16</v>
      </c>
      <c r="M55" s="12"/>
      <c r="N55" s="12"/>
      <c r="O55" s="13"/>
    </row>
    <row r="56" customFormat="false" ht="15" hidden="false" customHeight="false" outlineLevel="0" collapsed="false">
      <c r="A56" s="12" t="s">
        <v>332</v>
      </c>
      <c r="B56" s="13" t="s">
        <v>26</v>
      </c>
      <c r="C56" s="13" t="s">
        <v>281</v>
      </c>
      <c r="D56" s="13" t="s">
        <v>333</v>
      </c>
      <c r="E56" s="13" t="s">
        <v>334</v>
      </c>
      <c r="F56" s="13" t="s">
        <v>335</v>
      </c>
      <c r="G56" s="13" t="s">
        <v>61</v>
      </c>
      <c r="H56" s="13" t="s">
        <v>336</v>
      </c>
      <c r="I56" s="12" t="s">
        <v>43</v>
      </c>
      <c r="J56" s="12" t="s">
        <v>63</v>
      </c>
      <c r="K56" s="13"/>
      <c r="L56" s="12" t="s">
        <v>16</v>
      </c>
      <c r="M56" s="12"/>
      <c r="N56" s="12"/>
      <c r="O56" s="13"/>
    </row>
    <row r="57" customFormat="false" ht="23.85" hidden="false" customHeight="false" outlineLevel="0" collapsed="false">
      <c r="A57" s="12" t="s">
        <v>337</v>
      </c>
      <c r="B57" s="13" t="s">
        <v>26</v>
      </c>
      <c r="C57" s="13" t="s">
        <v>307</v>
      </c>
      <c r="D57" s="13" t="s">
        <v>338</v>
      </c>
      <c r="E57" s="13" t="s">
        <v>339</v>
      </c>
      <c r="F57" s="13" t="s">
        <v>340</v>
      </c>
      <c r="G57" s="13" t="s">
        <v>341</v>
      </c>
      <c r="H57" s="13" t="s">
        <v>342</v>
      </c>
      <c r="I57" s="12" t="s">
        <v>43</v>
      </c>
      <c r="J57" s="12" t="s">
        <v>63</v>
      </c>
      <c r="K57" s="13"/>
      <c r="L57" s="12" t="s">
        <v>16</v>
      </c>
      <c r="M57" s="12"/>
      <c r="N57" s="12"/>
      <c r="O57" s="13"/>
    </row>
    <row r="58" customFormat="false" ht="35.05" hidden="false" customHeight="false" outlineLevel="0" collapsed="false">
      <c r="A58" s="12" t="s">
        <v>343</v>
      </c>
      <c r="B58" s="13" t="s">
        <v>26</v>
      </c>
      <c r="C58" s="13" t="s">
        <v>307</v>
      </c>
      <c r="D58" s="13" t="s">
        <v>344</v>
      </c>
      <c r="E58" s="13" t="s">
        <v>61</v>
      </c>
      <c r="F58" s="13" t="s">
        <v>345</v>
      </c>
      <c r="G58" s="13" t="s">
        <v>61</v>
      </c>
      <c r="H58" s="13" t="s">
        <v>346</v>
      </c>
      <c r="I58" s="12" t="s">
        <v>157</v>
      </c>
      <c r="J58" s="12" t="s">
        <v>63</v>
      </c>
      <c r="K58" s="13"/>
      <c r="L58" s="12" t="s">
        <v>16</v>
      </c>
      <c r="M58" s="12"/>
      <c r="N58" s="12"/>
      <c r="O58" s="13"/>
    </row>
    <row r="59" customFormat="false" ht="23.85" hidden="false" customHeight="false" outlineLevel="0" collapsed="false">
      <c r="A59" s="12" t="s">
        <v>347</v>
      </c>
      <c r="B59" s="13" t="s">
        <v>26</v>
      </c>
      <c r="C59" s="13" t="s">
        <v>307</v>
      </c>
      <c r="D59" s="13" t="s">
        <v>348</v>
      </c>
      <c r="E59" s="13" t="s">
        <v>349</v>
      </c>
      <c r="F59" s="13" t="s">
        <v>350</v>
      </c>
      <c r="G59" s="13" t="s">
        <v>351</v>
      </c>
      <c r="H59" s="13" t="s">
        <v>352</v>
      </c>
      <c r="I59" s="12" t="s">
        <v>157</v>
      </c>
      <c r="J59" s="12" t="s">
        <v>81</v>
      </c>
      <c r="K59" s="13"/>
      <c r="L59" s="12" t="s">
        <v>16</v>
      </c>
      <c r="M59" s="12"/>
      <c r="N59" s="12"/>
      <c r="O59" s="13" t="s">
        <v>353</v>
      </c>
    </row>
    <row r="60" customFormat="false" ht="23.85" hidden="false" customHeight="false" outlineLevel="0" collapsed="false">
      <c r="A60" s="12" t="s">
        <v>354</v>
      </c>
      <c r="B60" s="13" t="s">
        <v>26</v>
      </c>
      <c r="C60" s="13" t="s">
        <v>307</v>
      </c>
      <c r="D60" s="13" t="s">
        <v>319</v>
      </c>
      <c r="E60" s="13" t="s">
        <v>61</v>
      </c>
      <c r="F60" s="13" t="s">
        <v>355</v>
      </c>
      <c r="G60" s="13" t="s">
        <v>321</v>
      </c>
      <c r="H60" s="13" t="s">
        <v>356</v>
      </c>
      <c r="I60" s="12" t="s">
        <v>157</v>
      </c>
      <c r="J60" s="12" t="s">
        <v>81</v>
      </c>
      <c r="K60" s="13"/>
      <c r="L60" s="12" t="s">
        <v>16</v>
      </c>
      <c r="M60" s="12"/>
      <c r="N60" s="12"/>
      <c r="O60" s="13"/>
    </row>
    <row r="61" customFormat="false" ht="15" hidden="false" customHeight="false" outlineLevel="0" collapsed="false">
      <c r="A61" s="12" t="s">
        <v>357</v>
      </c>
      <c r="B61" s="13" t="s">
        <v>26</v>
      </c>
      <c r="C61" s="13" t="s">
        <v>307</v>
      </c>
      <c r="D61" s="13" t="s">
        <v>358</v>
      </c>
      <c r="E61" s="13" t="s">
        <v>359</v>
      </c>
      <c r="F61" s="13" t="s">
        <v>360</v>
      </c>
      <c r="G61" s="13" t="s">
        <v>61</v>
      </c>
      <c r="H61" s="13" t="s">
        <v>361</v>
      </c>
      <c r="I61" s="12" t="s">
        <v>80</v>
      </c>
      <c r="J61" s="12" t="s">
        <v>119</v>
      </c>
      <c r="K61" s="13"/>
      <c r="L61" s="12" t="s">
        <v>16</v>
      </c>
      <c r="M61" s="12"/>
      <c r="N61" s="12"/>
      <c r="O61" s="13"/>
    </row>
    <row r="62" customFormat="false" ht="15" hidden="false" customHeight="false" outlineLevel="0" collapsed="false">
      <c r="A62" s="12" t="s">
        <v>362</v>
      </c>
      <c r="B62" s="13" t="s">
        <v>27</v>
      </c>
      <c r="C62" s="13" t="s">
        <v>281</v>
      </c>
      <c r="D62" s="13" t="s">
        <v>363</v>
      </c>
      <c r="E62" s="13" t="s">
        <v>364</v>
      </c>
      <c r="F62" s="13" t="s">
        <v>335</v>
      </c>
      <c r="G62" s="13" t="s">
        <v>61</v>
      </c>
      <c r="H62" s="13" t="s">
        <v>365</v>
      </c>
      <c r="I62" s="12" t="s">
        <v>43</v>
      </c>
      <c r="J62" s="12" t="s">
        <v>63</v>
      </c>
      <c r="K62" s="13"/>
      <c r="L62" s="12" t="s">
        <v>16</v>
      </c>
      <c r="M62" s="12"/>
      <c r="N62" s="12"/>
      <c r="O62" s="13"/>
    </row>
    <row r="63" customFormat="false" ht="23.85" hidden="false" customHeight="false" outlineLevel="0" collapsed="false">
      <c r="A63" s="12" t="s">
        <v>366</v>
      </c>
      <c r="B63" s="13" t="s">
        <v>27</v>
      </c>
      <c r="C63" s="13" t="s">
        <v>287</v>
      </c>
      <c r="D63" s="13" t="s">
        <v>367</v>
      </c>
      <c r="E63" s="13" t="s">
        <v>27</v>
      </c>
      <c r="F63" s="13" t="s">
        <v>368</v>
      </c>
      <c r="G63" s="13" t="s">
        <v>61</v>
      </c>
      <c r="H63" s="13" t="s">
        <v>369</v>
      </c>
      <c r="I63" s="12" t="s">
        <v>43</v>
      </c>
      <c r="J63" s="12" t="s">
        <v>63</v>
      </c>
      <c r="K63" s="13"/>
      <c r="L63" s="12" t="s">
        <v>16</v>
      </c>
      <c r="M63" s="12"/>
      <c r="N63" s="12"/>
      <c r="O63" s="13"/>
    </row>
    <row r="64" customFormat="false" ht="15" hidden="false" customHeight="false" outlineLevel="0" collapsed="false">
      <c r="A64" s="12" t="s">
        <v>370</v>
      </c>
      <c r="B64" s="13" t="s">
        <v>27</v>
      </c>
      <c r="C64" s="13" t="s">
        <v>287</v>
      </c>
      <c r="D64" s="13" t="s">
        <v>371</v>
      </c>
      <c r="E64" s="13" t="s">
        <v>372</v>
      </c>
      <c r="F64" s="13" t="s">
        <v>373</v>
      </c>
      <c r="G64" s="13" t="s">
        <v>374</v>
      </c>
      <c r="H64" s="13" t="s">
        <v>375</v>
      </c>
      <c r="I64" s="12" t="s">
        <v>43</v>
      </c>
      <c r="J64" s="12" t="s">
        <v>81</v>
      </c>
      <c r="K64" s="13"/>
      <c r="L64" s="12" t="s">
        <v>16</v>
      </c>
      <c r="M64" s="12"/>
      <c r="N64" s="12"/>
      <c r="O64" s="13"/>
    </row>
    <row r="65" customFormat="false" ht="15" hidden="false" customHeight="false" outlineLevel="0" collapsed="false">
      <c r="A65" s="12" t="s">
        <v>376</v>
      </c>
      <c r="B65" s="13" t="s">
        <v>27</v>
      </c>
      <c r="C65" s="13" t="s">
        <v>287</v>
      </c>
      <c r="D65" s="13" t="s">
        <v>377</v>
      </c>
      <c r="E65" s="13" t="s">
        <v>378</v>
      </c>
      <c r="F65" s="13" t="s">
        <v>379</v>
      </c>
      <c r="G65" s="13" t="s">
        <v>380</v>
      </c>
      <c r="H65" s="13" t="s">
        <v>381</v>
      </c>
      <c r="I65" s="12" t="s">
        <v>157</v>
      </c>
      <c r="J65" s="12" t="s">
        <v>81</v>
      </c>
      <c r="K65" s="13"/>
      <c r="L65" s="12" t="s">
        <v>16</v>
      </c>
      <c r="M65" s="12"/>
      <c r="N65" s="12"/>
      <c r="O65" s="13"/>
    </row>
    <row r="66" customFormat="false" ht="15" hidden="false" customHeight="false" outlineLevel="0" collapsed="false">
      <c r="A66" s="12" t="s">
        <v>382</v>
      </c>
      <c r="B66" s="13" t="s">
        <v>27</v>
      </c>
      <c r="C66" s="13" t="s">
        <v>287</v>
      </c>
      <c r="D66" s="13" t="s">
        <v>383</v>
      </c>
      <c r="E66" s="13" t="s">
        <v>61</v>
      </c>
      <c r="F66" s="13" t="s">
        <v>384</v>
      </c>
      <c r="G66" s="13" t="s">
        <v>61</v>
      </c>
      <c r="H66" s="13" t="s">
        <v>385</v>
      </c>
      <c r="I66" s="12" t="s">
        <v>43</v>
      </c>
      <c r="J66" s="12" t="s">
        <v>81</v>
      </c>
      <c r="K66" s="13"/>
      <c r="L66" s="12" t="s">
        <v>16</v>
      </c>
      <c r="M66" s="12"/>
      <c r="N66" s="12"/>
      <c r="O66" s="13"/>
    </row>
    <row r="67" customFormat="false" ht="15" hidden="false" customHeight="false" outlineLevel="0" collapsed="false">
      <c r="A67" s="12" t="s">
        <v>386</v>
      </c>
      <c r="B67" s="13" t="s">
        <v>27</v>
      </c>
      <c r="C67" s="13" t="s">
        <v>287</v>
      </c>
      <c r="D67" s="13" t="s">
        <v>387</v>
      </c>
      <c r="E67" s="13" t="s">
        <v>61</v>
      </c>
      <c r="F67" s="13" t="s">
        <v>388</v>
      </c>
      <c r="G67" s="13" t="s">
        <v>61</v>
      </c>
      <c r="H67" s="13" t="s">
        <v>389</v>
      </c>
      <c r="I67" s="12" t="s">
        <v>80</v>
      </c>
      <c r="J67" s="12" t="s">
        <v>119</v>
      </c>
      <c r="K67" s="13"/>
      <c r="L67" s="12" t="s">
        <v>16</v>
      </c>
      <c r="M67" s="12"/>
      <c r="N67" s="12"/>
      <c r="O67" s="13"/>
    </row>
    <row r="68" customFormat="false" ht="23.85" hidden="false" customHeight="false" outlineLevel="0" collapsed="false">
      <c r="A68" s="12" t="s">
        <v>390</v>
      </c>
      <c r="B68" s="13" t="s">
        <v>27</v>
      </c>
      <c r="C68" s="13" t="s">
        <v>307</v>
      </c>
      <c r="D68" s="13" t="s">
        <v>391</v>
      </c>
      <c r="E68" s="13" t="s">
        <v>27</v>
      </c>
      <c r="F68" s="13" t="s">
        <v>392</v>
      </c>
      <c r="G68" s="13" t="s">
        <v>393</v>
      </c>
      <c r="H68" s="13" t="s">
        <v>394</v>
      </c>
      <c r="I68" s="12" t="s">
        <v>43</v>
      </c>
      <c r="J68" s="12" t="s">
        <v>63</v>
      </c>
      <c r="K68" s="13"/>
      <c r="L68" s="12" t="s">
        <v>16</v>
      </c>
      <c r="M68" s="12"/>
      <c r="N68" s="12"/>
      <c r="O68" s="13"/>
    </row>
    <row r="69" customFormat="false" ht="15" hidden="false" customHeight="false" outlineLevel="0" collapsed="false">
      <c r="A69" s="12" t="s">
        <v>395</v>
      </c>
      <c r="B69" s="13" t="s">
        <v>27</v>
      </c>
      <c r="C69" s="13" t="s">
        <v>307</v>
      </c>
      <c r="D69" s="13" t="s">
        <v>396</v>
      </c>
      <c r="E69" s="13" t="s">
        <v>397</v>
      </c>
      <c r="F69" s="13" t="s">
        <v>398</v>
      </c>
      <c r="G69" s="13" t="s">
        <v>61</v>
      </c>
      <c r="H69" s="13" t="s">
        <v>399</v>
      </c>
      <c r="I69" s="12" t="s">
        <v>80</v>
      </c>
      <c r="J69" s="12" t="s">
        <v>63</v>
      </c>
      <c r="K69" s="13"/>
      <c r="L69" s="12" t="s">
        <v>16</v>
      </c>
      <c r="M69" s="12"/>
      <c r="N69" s="12"/>
      <c r="O69" s="13"/>
    </row>
    <row r="70" customFormat="false" ht="15" hidden="false" customHeight="false" outlineLevel="0" collapsed="false">
      <c r="A70" s="12" t="s">
        <v>400</v>
      </c>
      <c r="B70" s="13" t="s">
        <v>27</v>
      </c>
      <c r="C70" s="13" t="s">
        <v>307</v>
      </c>
      <c r="D70" s="13" t="s">
        <v>401</v>
      </c>
      <c r="E70" s="13" t="s">
        <v>402</v>
      </c>
      <c r="F70" s="13" t="s">
        <v>403</v>
      </c>
      <c r="G70" s="13" t="s">
        <v>61</v>
      </c>
      <c r="H70" s="13" t="s">
        <v>404</v>
      </c>
      <c r="I70" s="12" t="s">
        <v>43</v>
      </c>
      <c r="J70" s="12" t="s">
        <v>81</v>
      </c>
      <c r="K70" s="13"/>
      <c r="L70" s="12" t="s">
        <v>16</v>
      </c>
      <c r="M70" s="12"/>
      <c r="N70" s="12"/>
      <c r="O70" s="13"/>
    </row>
    <row r="71" customFormat="false" ht="15" hidden="false" customHeight="false" outlineLevel="0" collapsed="false">
      <c r="A71" s="12" t="s">
        <v>405</v>
      </c>
      <c r="B71" s="13" t="s">
        <v>27</v>
      </c>
      <c r="C71" s="13" t="s">
        <v>307</v>
      </c>
      <c r="D71" s="13" t="s">
        <v>319</v>
      </c>
      <c r="E71" s="13" t="s">
        <v>61</v>
      </c>
      <c r="F71" s="13" t="s">
        <v>406</v>
      </c>
      <c r="G71" s="13" t="s">
        <v>321</v>
      </c>
      <c r="H71" s="13" t="s">
        <v>407</v>
      </c>
      <c r="I71" s="12" t="s">
        <v>157</v>
      </c>
      <c r="J71" s="12" t="s">
        <v>81</v>
      </c>
      <c r="K71" s="13"/>
      <c r="L71" s="12" t="s">
        <v>16</v>
      </c>
      <c r="M71" s="12"/>
      <c r="N71" s="12"/>
      <c r="O71" s="13"/>
    </row>
    <row r="72" customFormat="false" ht="23.85" hidden="false" customHeight="false" outlineLevel="0" collapsed="false">
      <c r="A72" s="12" t="s">
        <v>408</v>
      </c>
      <c r="B72" s="13" t="s">
        <v>28</v>
      </c>
      <c r="C72" s="13" t="s">
        <v>281</v>
      </c>
      <c r="D72" s="13" t="s">
        <v>409</v>
      </c>
      <c r="E72" s="13" t="s">
        <v>410</v>
      </c>
      <c r="F72" s="13" t="s">
        <v>335</v>
      </c>
      <c r="G72" s="13" t="s">
        <v>61</v>
      </c>
      <c r="H72" s="13" t="s">
        <v>411</v>
      </c>
      <c r="I72" s="12" t="s">
        <v>43</v>
      </c>
      <c r="J72" s="12" t="s">
        <v>63</v>
      </c>
      <c r="K72" s="13"/>
      <c r="L72" s="12" t="s">
        <v>16</v>
      </c>
      <c r="M72" s="12"/>
      <c r="N72" s="12"/>
      <c r="O72" s="13"/>
    </row>
    <row r="73" customFormat="false" ht="23.85" hidden="false" customHeight="false" outlineLevel="0" collapsed="false">
      <c r="A73" s="12" t="s">
        <v>412</v>
      </c>
      <c r="B73" s="13" t="s">
        <v>28</v>
      </c>
      <c r="C73" s="13" t="s">
        <v>307</v>
      </c>
      <c r="D73" s="13" t="s">
        <v>413</v>
      </c>
      <c r="E73" s="13" t="s">
        <v>414</v>
      </c>
      <c r="F73" s="13" t="s">
        <v>330</v>
      </c>
      <c r="G73" s="13" t="s">
        <v>415</v>
      </c>
      <c r="H73" s="13" t="s">
        <v>416</v>
      </c>
      <c r="I73" s="12" t="s">
        <v>43</v>
      </c>
      <c r="J73" s="12" t="s">
        <v>63</v>
      </c>
      <c r="K73" s="13"/>
      <c r="L73" s="12" t="s">
        <v>16</v>
      </c>
      <c r="M73" s="12"/>
      <c r="N73" s="12"/>
      <c r="O73" s="13"/>
    </row>
    <row r="74" customFormat="false" ht="35.05" hidden="false" customHeight="false" outlineLevel="0" collapsed="false">
      <c r="A74" s="12" t="s">
        <v>417</v>
      </c>
      <c r="B74" s="13" t="s">
        <v>28</v>
      </c>
      <c r="C74" s="13" t="s">
        <v>307</v>
      </c>
      <c r="D74" s="13" t="s">
        <v>418</v>
      </c>
      <c r="E74" s="13" t="s">
        <v>61</v>
      </c>
      <c r="F74" s="13" t="s">
        <v>419</v>
      </c>
      <c r="G74" s="13" t="s">
        <v>420</v>
      </c>
      <c r="H74" s="13" t="s">
        <v>421</v>
      </c>
      <c r="I74" s="12" t="s">
        <v>157</v>
      </c>
      <c r="J74" s="12" t="s">
        <v>63</v>
      </c>
      <c r="K74" s="13"/>
      <c r="L74" s="12" t="s">
        <v>16</v>
      </c>
      <c r="M74" s="12"/>
      <c r="N74" s="12"/>
      <c r="O74" s="13"/>
    </row>
    <row r="75" customFormat="false" ht="23.85" hidden="false" customHeight="false" outlineLevel="0" collapsed="false">
      <c r="A75" s="12" t="s">
        <v>422</v>
      </c>
      <c r="B75" s="13" t="s">
        <v>28</v>
      </c>
      <c r="C75" s="13" t="s">
        <v>423</v>
      </c>
      <c r="D75" s="13" t="s">
        <v>424</v>
      </c>
      <c r="E75" s="13" t="s">
        <v>425</v>
      </c>
      <c r="F75" s="13" t="s">
        <v>426</v>
      </c>
      <c r="G75" s="13" t="s">
        <v>427</v>
      </c>
      <c r="H75" s="13" t="s">
        <v>428</v>
      </c>
      <c r="I75" s="12" t="s">
        <v>43</v>
      </c>
      <c r="J75" s="12" t="s">
        <v>63</v>
      </c>
      <c r="K75" s="13"/>
      <c r="L75" s="12" t="s">
        <v>16</v>
      </c>
      <c r="M75" s="12"/>
      <c r="N75" s="12"/>
      <c r="O75" s="13"/>
    </row>
    <row r="76" customFormat="false" ht="23.85" hidden="false" customHeight="false" outlineLevel="0" collapsed="false">
      <c r="A76" s="12" t="s">
        <v>429</v>
      </c>
      <c r="B76" s="13" t="s">
        <v>28</v>
      </c>
      <c r="C76" s="13" t="s">
        <v>423</v>
      </c>
      <c r="D76" s="13" t="s">
        <v>430</v>
      </c>
      <c r="E76" s="13" t="s">
        <v>431</v>
      </c>
      <c r="F76" s="13" t="s">
        <v>432</v>
      </c>
      <c r="G76" s="13" t="s">
        <v>61</v>
      </c>
      <c r="H76" s="13" t="s">
        <v>433</v>
      </c>
      <c r="I76" s="12" t="s">
        <v>43</v>
      </c>
      <c r="J76" s="12" t="s">
        <v>63</v>
      </c>
      <c r="K76" s="13"/>
      <c r="L76" s="12" t="s">
        <v>16</v>
      </c>
      <c r="M76" s="12"/>
      <c r="N76" s="12"/>
      <c r="O76" s="13"/>
    </row>
    <row r="77" customFormat="false" ht="35.05" hidden="false" customHeight="false" outlineLevel="0" collapsed="false">
      <c r="A77" s="12" t="s">
        <v>434</v>
      </c>
      <c r="B77" s="13" t="s">
        <v>28</v>
      </c>
      <c r="C77" s="13" t="s">
        <v>423</v>
      </c>
      <c r="D77" s="13" t="s">
        <v>435</v>
      </c>
      <c r="E77" s="13" t="s">
        <v>61</v>
      </c>
      <c r="F77" s="13" t="s">
        <v>436</v>
      </c>
      <c r="G77" s="13" t="s">
        <v>437</v>
      </c>
      <c r="H77" s="13" t="s">
        <v>438</v>
      </c>
      <c r="I77" s="12" t="s">
        <v>157</v>
      </c>
      <c r="J77" s="12" t="s">
        <v>81</v>
      </c>
      <c r="K77" s="13"/>
      <c r="L77" s="12" t="s">
        <v>16</v>
      </c>
      <c r="M77" s="12"/>
      <c r="N77" s="12"/>
      <c r="O77" s="13"/>
    </row>
    <row r="78" customFormat="false" ht="15" hidden="false" customHeight="false" outlineLevel="0" collapsed="false">
      <c r="A78" s="12" t="s">
        <v>439</v>
      </c>
      <c r="B78" s="13" t="s">
        <v>28</v>
      </c>
      <c r="C78" s="13" t="s">
        <v>307</v>
      </c>
      <c r="D78" s="13" t="s">
        <v>440</v>
      </c>
      <c r="E78" s="13" t="s">
        <v>441</v>
      </c>
      <c r="F78" s="13" t="s">
        <v>442</v>
      </c>
      <c r="G78" s="13" t="s">
        <v>61</v>
      </c>
      <c r="H78" s="13" t="s">
        <v>443</v>
      </c>
      <c r="I78" s="12" t="s">
        <v>80</v>
      </c>
      <c r="J78" s="12" t="s">
        <v>63</v>
      </c>
      <c r="K78" s="13"/>
      <c r="L78" s="12" t="s">
        <v>16</v>
      </c>
      <c r="M78" s="12"/>
      <c r="N78" s="12"/>
      <c r="O78" s="13"/>
    </row>
    <row r="79" customFormat="false" ht="15" hidden="false" customHeight="false" outlineLevel="0" collapsed="false">
      <c r="A79" s="12" t="s">
        <v>444</v>
      </c>
      <c r="B79" s="13" t="s">
        <v>28</v>
      </c>
      <c r="C79" s="13" t="s">
        <v>307</v>
      </c>
      <c r="D79" s="13" t="s">
        <v>445</v>
      </c>
      <c r="E79" s="13" t="s">
        <v>61</v>
      </c>
      <c r="F79" s="13" t="s">
        <v>446</v>
      </c>
      <c r="G79" s="13" t="s">
        <v>61</v>
      </c>
      <c r="H79" s="13" t="s">
        <v>447</v>
      </c>
      <c r="I79" s="12" t="s">
        <v>80</v>
      </c>
      <c r="J79" s="12" t="s">
        <v>119</v>
      </c>
      <c r="K79" s="13"/>
      <c r="L79" s="12" t="s">
        <v>16</v>
      </c>
      <c r="M79" s="12"/>
      <c r="N79" s="12"/>
      <c r="O79" s="13"/>
    </row>
    <row r="80" customFormat="false" ht="15" hidden="false" customHeight="false" outlineLevel="0" collapsed="false">
      <c r="A80" s="12" t="s">
        <v>448</v>
      </c>
      <c r="B80" s="13" t="s">
        <v>29</v>
      </c>
      <c r="C80" s="13" t="s">
        <v>281</v>
      </c>
      <c r="D80" s="13" t="s">
        <v>449</v>
      </c>
      <c r="E80" s="13" t="s">
        <v>450</v>
      </c>
      <c r="F80" s="13" t="s">
        <v>451</v>
      </c>
      <c r="G80" s="13" t="s">
        <v>452</v>
      </c>
      <c r="H80" s="13" t="s">
        <v>453</v>
      </c>
      <c r="I80" s="12" t="s">
        <v>43</v>
      </c>
      <c r="J80" s="12" t="s">
        <v>63</v>
      </c>
      <c r="K80" s="13"/>
      <c r="L80" s="12" t="s">
        <v>16</v>
      </c>
      <c r="M80" s="12"/>
      <c r="N80" s="12"/>
      <c r="O80" s="13"/>
    </row>
    <row r="81" customFormat="false" ht="15" hidden="false" customHeight="false" outlineLevel="0" collapsed="false">
      <c r="A81" s="12" t="s">
        <v>454</v>
      </c>
      <c r="B81" s="13" t="s">
        <v>29</v>
      </c>
      <c r="C81" s="13" t="s">
        <v>281</v>
      </c>
      <c r="D81" s="13" t="s">
        <v>455</v>
      </c>
      <c r="E81" s="13" t="s">
        <v>456</v>
      </c>
      <c r="F81" s="13" t="s">
        <v>457</v>
      </c>
      <c r="G81" s="13" t="s">
        <v>452</v>
      </c>
      <c r="H81" s="13" t="s">
        <v>458</v>
      </c>
      <c r="I81" s="12" t="s">
        <v>157</v>
      </c>
      <c r="J81" s="12" t="s">
        <v>81</v>
      </c>
      <c r="K81" s="13"/>
      <c r="L81" s="12" t="s">
        <v>16</v>
      </c>
      <c r="M81" s="12"/>
      <c r="N81" s="12"/>
      <c r="O81" s="13"/>
    </row>
    <row r="82" customFormat="false" ht="23.85" hidden="false" customHeight="false" outlineLevel="0" collapsed="false">
      <c r="A82" s="12" t="s">
        <v>459</v>
      </c>
      <c r="B82" s="13" t="s">
        <v>29</v>
      </c>
      <c r="C82" s="13" t="s">
        <v>281</v>
      </c>
      <c r="D82" s="13" t="s">
        <v>460</v>
      </c>
      <c r="E82" s="13" t="s">
        <v>461</v>
      </c>
      <c r="F82" s="13" t="s">
        <v>457</v>
      </c>
      <c r="G82" s="13" t="s">
        <v>61</v>
      </c>
      <c r="H82" s="13" t="s">
        <v>462</v>
      </c>
      <c r="I82" s="12" t="s">
        <v>157</v>
      </c>
      <c r="J82" s="12" t="s">
        <v>119</v>
      </c>
      <c r="K82" s="13"/>
      <c r="L82" s="12" t="s">
        <v>16</v>
      </c>
      <c r="M82" s="12"/>
      <c r="N82" s="12"/>
      <c r="O82" s="13" t="s">
        <v>463</v>
      </c>
    </row>
    <row r="83" customFormat="false" ht="23.85" hidden="false" customHeight="false" outlineLevel="0" collapsed="false">
      <c r="A83" s="12" t="s">
        <v>464</v>
      </c>
      <c r="B83" s="13" t="s">
        <v>29</v>
      </c>
      <c r="C83" s="13" t="s">
        <v>281</v>
      </c>
      <c r="D83" s="13" t="s">
        <v>465</v>
      </c>
      <c r="E83" s="13" t="s">
        <v>466</v>
      </c>
      <c r="F83" s="13" t="s">
        <v>467</v>
      </c>
      <c r="G83" s="13" t="s">
        <v>468</v>
      </c>
      <c r="H83" s="13" t="s">
        <v>469</v>
      </c>
      <c r="I83" s="12" t="s">
        <v>157</v>
      </c>
      <c r="J83" s="12" t="s">
        <v>63</v>
      </c>
      <c r="K83" s="13"/>
      <c r="L83" s="12" t="s">
        <v>16</v>
      </c>
      <c r="M83" s="12"/>
      <c r="N83" s="12"/>
      <c r="O83" s="13" t="s">
        <v>470</v>
      </c>
    </row>
    <row r="84" customFormat="false" ht="15" hidden="false" customHeight="false" outlineLevel="0" collapsed="false">
      <c r="A84" s="12" t="s">
        <v>471</v>
      </c>
      <c r="B84" s="13" t="s">
        <v>29</v>
      </c>
      <c r="C84" s="13" t="s">
        <v>281</v>
      </c>
      <c r="D84" s="13" t="s">
        <v>472</v>
      </c>
      <c r="E84" s="13" t="s">
        <v>473</v>
      </c>
      <c r="F84" s="13" t="s">
        <v>474</v>
      </c>
      <c r="G84" s="13" t="s">
        <v>61</v>
      </c>
      <c r="H84" s="13" t="s">
        <v>475</v>
      </c>
      <c r="I84" s="12" t="s">
        <v>157</v>
      </c>
      <c r="J84" s="12" t="s">
        <v>81</v>
      </c>
      <c r="K84" s="13"/>
      <c r="L84" s="12" t="s">
        <v>16</v>
      </c>
      <c r="M84" s="12"/>
      <c r="N84" s="12"/>
      <c r="O84" s="13"/>
    </row>
    <row r="85" customFormat="false" ht="15" hidden="false" customHeight="false" outlineLevel="0" collapsed="false">
      <c r="A85" s="12" t="s">
        <v>476</v>
      </c>
      <c r="B85" s="13" t="s">
        <v>29</v>
      </c>
      <c r="C85" s="13" t="s">
        <v>281</v>
      </c>
      <c r="D85" s="13" t="s">
        <v>477</v>
      </c>
      <c r="E85" s="13" t="s">
        <v>478</v>
      </c>
      <c r="F85" s="13" t="s">
        <v>479</v>
      </c>
      <c r="G85" s="13" t="s">
        <v>480</v>
      </c>
      <c r="H85" s="13" t="s">
        <v>481</v>
      </c>
      <c r="I85" s="12" t="s">
        <v>43</v>
      </c>
      <c r="J85" s="12" t="s">
        <v>63</v>
      </c>
      <c r="K85" s="13"/>
      <c r="L85" s="12" t="s">
        <v>16</v>
      </c>
      <c r="M85" s="12"/>
      <c r="N85" s="12"/>
      <c r="O85" s="13"/>
    </row>
    <row r="86" customFormat="false" ht="15" hidden="false" customHeight="false" outlineLevel="0" collapsed="false">
      <c r="A86" s="12" t="s">
        <v>482</v>
      </c>
      <c r="B86" s="13" t="s">
        <v>29</v>
      </c>
      <c r="C86" s="13" t="s">
        <v>281</v>
      </c>
      <c r="D86" s="13" t="s">
        <v>483</v>
      </c>
      <c r="E86" s="13" t="s">
        <v>484</v>
      </c>
      <c r="F86" s="13" t="s">
        <v>485</v>
      </c>
      <c r="G86" s="13" t="s">
        <v>486</v>
      </c>
      <c r="H86" s="13" t="s">
        <v>487</v>
      </c>
      <c r="I86" s="12" t="s">
        <v>43</v>
      </c>
      <c r="J86" s="12" t="s">
        <v>63</v>
      </c>
      <c r="K86" s="13"/>
      <c r="L86" s="12" t="s">
        <v>16</v>
      </c>
      <c r="M86" s="12"/>
      <c r="N86" s="12"/>
      <c r="O86" s="13"/>
    </row>
    <row r="87" customFormat="false" ht="15" hidden="false" customHeight="false" outlineLevel="0" collapsed="false">
      <c r="A87" s="12" t="s">
        <v>488</v>
      </c>
      <c r="B87" s="13" t="s">
        <v>29</v>
      </c>
      <c r="C87" s="13" t="s">
        <v>281</v>
      </c>
      <c r="D87" s="13" t="s">
        <v>489</v>
      </c>
      <c r="E87" s="13" t="s">
        <v>490</v>
      </c>
      <c r="F87" s="13" t="s">
        <v>491</v>
      </c>
      <c r="G87" s="13" t="s">
        <v>492</v>
      </c>
      <c r="H87" s="13" t="s">
        <v>493</v>
      </c>
      <c r="I87" s="12" t="s">
        <v>43</v>
      </c>
      <c r="J87" s="12" t="s">
        <v>63</v>
      </c>
      <c r="K87" s="13"/>
      <c r="L87" s="12" t="s">
        <v>16</v>
      </c>
      <c r="M87" s="12"/>
      <c r="N87" s="12"/>
      <c r="O87" s="13"/>
    </row>
    <row r="88" customFormat="false" ht="23.85" hidden="false" customHeight="false" outlineLevel="0" collapsed="false">
      <c r="A88" s="12" t="s">
        <v>494</v>
      </c>
      <c r="B88" s="13" t="s">
        <v>29</v>
      </c>
      <c r="C88" s="13" t="s">
        <v>281</v>
      </c>
      <c r="D88" s="13" t="s">
        <v>495</v>
      </c>
      <c r="E88" s="13" t="s">
        <v>496</v>
      </c>
      <c r="F88" s="13" t="s">
        <v>497</v>
      </c>
      <c r="G88" s="13" t="s">
        <v>498</v>
      </c>
      <c r="H88" s="13" t="s">
        <v>499</v>
      </c>
      <c r="I88" s="12" t="s">
        <v>43</v>
      </c>
      <c r="J88" s="12" t="s">
        <v>63</v>
      </c>
      <c r="K88" s="13"/>
      <c r="L88" s="12" t="s">
        <v>16</v>
      </c>
      <c r="M88" s="12"/>
      <c r="N88" s="12"/>
      <c r="O88" s="13"/>
    </row>
    <row r="89" customFormat="false" ht="23.85" hidden="false" customHeight="false" outlineLevel="0" collapsed="false">
      <c r="A89" s="12" t="s">
        <v>500</v>
      </c>
      <c r="B89" s="13" t="s">
        <v>29</v>
      </c>
      <c r="C89" s="13" t="s">
        <v>281</v>
      </c>
      <c r="D89" s="13" t="s">
        <v>501</v>
      </c>
      <c r="E89" s="13" t="s">
        <v>502</v>
      </c>
      <c r="F89" s="13" t="s">
        <v>503</v>
      </c>
      <c r="G89" s="13" t="s">
        <v>504</v>
      </c>
      <c r="H89" s="13" t="s">
        <v>505</v>
      </c>
      <c r="I89" s="12" t="s">
        <v>43</v>
      </c>
      <c r="J89" s="12" t="s">
        <v>63</v>
      </c>
      <c r="K89" s="13"/>
      <c r="L89" s="12" t="s">
        <v>16</v>
      </c>
      <c r="M89" s="12"/>
      <c r="N89" s="12"/>
      <c r="O89" s="13" t="s">
        <v>506</v>
      </c>
    </row>
    <row r="90" customFormat="false" ht="23.85" hidden="false" customHeight="false" outlineLevel="0" collapsed="false">
      <c r="A90" s="12" t="s">
        <v>507</v>
      </c>
      <c r="B90" s="13" t="s">
        <v>29</v>
      </c>
      <c r="C90" s="13" t="s">
        <v>57</v>
      </c>
      <c r="D90" s="13" t="s">
        <v>508</v>
      </c>
      <c r="E90" s="13" t="s">
        <v>509</v>
      </c>
      <c r="F90" s="13" t="s">
        <v>510</v>
      </c>
      <c r="G90" s="13" t="s">
        <v>61</v>
      </c>
      <c r="H90" s="13" t="s">
        <v>511</v>
      </c>
      <c r="I90" s="12" t="s">
        <v>512</v>
      </c>
      <c r="J90" s="12" t="s">
        <v>119</v>
      </c>
      <c r="K90" s="13"/>
      <c r="L90" s="12" t="s">
        <v>16</v>
      </c>
      <c r="M90" s="12"/>
      <c r="N90" s="12"/>
      <c r="O90" s="13" t="s">
        <v>513</v>
      </c>
    </row>
    <row r="91" customFormat="false" ht="23.85" hidden="false" customHeight="false" outlineLevel="0" collapsed="false">
      <c r="A91" s="12" t="s">
        <v>514</v>
      </c>
      <c r="B91" s="13" t="s">
        <v>30</v>
      </c>
      <c r="C91" s="13" t="s">
        <v>515</v>
      </c>
      <c r="D91" s="13" t="s">
        <v>516</v>
      </c>
      <c r="E91" s="13" t="s">
        <v>517</v>
      </c>
      <c r="F91" s="13" t="s">
        <v>518</v>
      </c>
      <c r="G91" s="13" t="s">
        <v>61</v>
      </c>
      <c r="H91" s="13" t="s">
        <v>519</v>
      </c>
      <c r="I91" s="12" t="s">
        <v>43</v>
      </c>
      <c r="J91" s="12" t="s">
        <v>81</v>
      </c>
      <c r="K91" s="13"/>
      <c r="L91" s="12" t="s">
        <v>16</v>
      </c>
      <c r="M91" s="12"/>
      <c r="N91" s="12"/>
      <c r="O91" s="13" t="s">
        <v>520</v>
      </c>
    </row>
    <row r="92" customFormat="false" ht="15" hidden="false" customHeight="false" outlineLevel="0" collapsed="false">
      <c r="A92" s="12" t="s">
        <v>521</v>
      </c>
      <c r="B92" s="13" t="s">
        <v>30</v>
      </c>
      <c r="C92" s="13" t="s">
        <v>522</v>
      </c>
      <c r="D92" s="13" t="s">
        <v>523</v>
      </c>
      <c r="E92" s="13" t="s">
        <v>524</v>
      </c>
      <c r="F92" s="13" t="s">
        <v>525</v>
      </c>
      <c r="G92" s="13" t="s">
        <v>61</v>
      </c>
      <c r="H92" s="13" t="s">
        <v>526</v>
      </c>
      <c r="I92" s="12" t="s">
        <v>43</v>
      </c>
      <c r="J92" s="12" t="s">
        <v>63</v>
      </c>
      <c r="K92" s="13"/>
      <c r="L92" s="12" t="s">
        <v>16</v>
      </c>
      <c r="M92" s="12"/>
      <c r="N92" s="12"/>
      <c r="O92" s="13"/>
    </row>
    <row r="93" customFormat="false" ht="23.85" hidden="false" customHeight="false" outlineLevel="0" collapsed="false">
      <c r="A93" s="12" t="s">
        <v>527</v>
      </c>
      <c r="B93" s="13" t="s">
        <v>30</v>
      </c>
      <c r="C93" s="13" t="s">
        <v>522</v>
      </c>
      <c r="D93" s="13" t="s">
        <v>528</v>
      </c>
      <c r="E93" s="13" t="s">
        <v>529</v>
      </c>
      <c r="F93" s="13" t="s">
        <v>530</v>
      </c>
      <c r="G93" s="13" t="s">
        <v>61</v>
      </c>
      <c r="H93" s="13" t="s">
        <v>531</v>
      </c>
      <c r="I93" s="12" t="s">
        <v>43</v>
      </c>
      <c r="J93" s="12" t="s">
        <v>81</v>
      </c>
      <c r="K93" s="13"/>
      <c r="L93" s="12" t="s">
        <v>16</v>
      </c>
      <c r="M93" s="12"/>
      <c r="N93" s="12"/>
      <c r="O93" s="13"/>
    </row>
    <row r="94" customFormat="false" ht="15" hidden="false" customHeight="false" outlineLevel="0" collapsed="false">
      <c r="A94" s="12" t="s">
        <v>532</v>
      </c>
      <c r="B94" s="13" t="s">
        <v>30</v>
      </c>
      <c r="C94" s="13" t="s">
        <v>522</v>
      </c>
      <c r="D94" s="13" t="s">
        <v>533</v>
      </c>
      <c r="E94" s="13" t="s">
        <v>61</v>
      </c>
      <c r="F94" s="13" t="s">
        <v>534</v>
      </c>
      <c r="G94" s="13" t="s">
        <v>61</v>
      </c>
      <c r="H94" s="13" t="s">
        <v>535</v>
      </c>
      <c r="I94" s="12" t="s">
        <v>43</v>
      </c>
      <c r="J94" s="12" t="s">
        <v>63</v>
      </c>
      <c r="K94" s="13"/>
      <c r="L94" s="12" t="s">
        <v>16</v>
      </c>
      <c r="M94" s="12"/>
      <c r="N94" s="12"/>
      <c r="O94" s="13"/>
    </row>
    <row r="95" customFormat="false" ht="23.85" hidden="false" customHeight="false" outlineLevel="0" collapsed="false">
      <c r="A95" s="12" t="s">
        <v>536</v>
      </c>
      <c r="B95" s="13" t="s">
        <v>30</v>
      </c>
      <c r="C95" s="13" t="s">
        <v>522</v>
      </c>
      <c r="D95" s="13" t="s">
        <v>537</v>
      </c>
      <c r="E95" s="13" t="s">
        <v>538</v>
      </c>
      <c r="F95" s="13" t="s">
        <v>539</v>
      </c>
      <c r="G95" s="13" t="s">
        <v>61</v>
      </c>
      <c r="H95" s="13" t="s">
        <v>540</v>
      </c>
      <c r="I95" s="12" t="s">
        <v>43</v>
      </c>
      <c r="J95" s="12" t="s">
        <v>63</v>
      </c>
      <c r="K95" s="13"/>
      <c r="L95" s="12" t="s">
        <v>16</v>
      </c>
      <c r="M95" s="12"/>
      <c r="N95" s="12"/>
      <c r="O95" s="13"/>
    </row>
    <row r="96" customFormat="false" ht="15" hidden="false" customHeight="false" outlineLevel="0" collapsed="false">
      <c r="A96" s="12" t="s">
        <v>541</v>
      </c>
      <c r="B96" s="13" t="s">
        <v>30</v>
      </c>
      <c r="C96" s="13" t="s">
        <v>522</v>
      </c>
      <c r="D96" s="13" t="s">
        <v>542</v>
      </c>
      <c r="E96" s="13" t="s">
        <v>543</v>
      </c>
      <c r="F96" s="13" t="s">
        <v>544</v>
      </c>
      <c r="G96" s="13" t="s">
        <v>545</v>
      </c>
      <c r="H96" s="13" t="s">
        <v>546</v>
      </c>
      <c r="I96" s="12" t="s">
        <v>43</v>
      </c>
      <c r="J96" s="12" t="s">
        <v>63</v>
      </c>
      <c r="K96" s="13"/>
      <c r="L96" s="12" t="s">
        <v>16</v>
      </c>
      <c r="M96" s="12"/>
      <c r="N96" s="12"/>
      <c r="O96" s="13"/>
    </row>
    <row r="97" customFormat="false" ht="15" hidden="false" customHeight="false" outlineLevel="0" collapsed="false">
      <c r="A97" s="12" t="s">
        <v>547</v>
      </c>
      <c r="B97" s="13" t="s">
        <v>30</v>
      </c>
      <c r="C97" s="13" t="s">
        <v>522</v>
      </c>
      <c r="D97" s="13" t="s">
        <v>548</v>
      </c>
      <c r="E97" s="13" t="s">
        <v>549</v>
      </c>
      <c r="F97" s="13" t="s">
        <v>550</v>
      </c>
      <c r="G97" s="13" t="s">
        <v>61</v>
      </c>
      <c r="H97" s="13" t="s">
        <v>551</v>
      </c>
      <c r="I97" s="12" t="s">
        <v>80</v>
      </c>
      <c r="J97" s="12" t="s">
        <v>81</v>
      </c>
      <c r="K97" s="13"/>
      <c r="L97" s="12" t="s">
        <v>16</v>
      </c>
      <c r="M97" s="12"/>
      <c r="N97" s="12"/>
      <c r="O97" s="13"/>
    </row>
    <row r="98" customFormat="false" ht="23.85" hidden="false" customHeight="false" outlineLevel="0" collapsed="false">
      <c r="A98" s="12" t="s">
        <v>552</v>
      </c>
      <c r="B98" s="13" t="s">
        <v>30</v>
      </c>
      <c r="C98" s="13" t="s">
        <v>522</v>
      </c>
      <c r="D98" s="13" t="s">
        <v>553</v>
      </c>
      <c r="E98" s="13" t="s">
        <v>554</v>
      </c>
      <c r="F98" s="13" t="s">
        <v>555</v>
      </c>
      <c r="G98" s="13" t="s">
        <v>61</v>
      </c>
      <c r="H98" s="13" t="s">
        <v>556</v>
      </c>
      <c r="I98" s="12" t="s">
        <v>43</v>
      </c>
      <c r="J98" s="12" t="s">
        <v>63</v>
      </c>
      <c r="K98" s="13"/>
      <c r="L98" s="12" t="s">
        <v>16</v>
      </c>
      <c r="M98" s="12"/>
      <c r="N98" s="12"/>
      <c r="O98" s="13" t="s">
        <v>557</v>
      </c>
    </row>
    <row r="99" customFormat="false" ht="15" hidden="false" customHeight="false" outlineLevel="0" collapsed="false">
      <c r="A99" s="12" t="s">
        <v>558</v>
      </c>
      <c r="B99" s="13" t="s">
        <v>30</v>
      </c>
      <c r="C99" s="13" t="s">
        <v>522</v>
      </c>
      <c r="D99" s="13" t="s">
        <v>559</v>
      </c>
      <c r="E99" s="13" t="s">
        <v>560</v>
      </c>
      <c r="F99" s="13" t="s">
        <v>561</v>
      </c>
      <c r="G99" s="13" t="s">
        <v>61</v>
      </c>
      <c r="H99" s="13" t="s">
        <v>562</v>
      </c>
      <c r="I99" s="12" t="s">
        <v>80</v>
      </c>
      <c r="J99" s="12" t="s">
        <v>81</v>
      </c>
      <c r="K99" s="13"/>
      <c r="L99" s="12" t="s">
        <v>16</v>
      </c>
      <c r="M99" s="12"/>
      <c r="N99" s="12"/>
      <c r="O99" s="13"/>
    </row>
    <row r="100" customFormat="false" ht="15" hidden="false" customHeight="false" outlineLevel="0" collapsed="false">
      <c r="A100" s="12" t="s">
        <v>563</v>
      </c>
      <c r="B100" s="13" t="s">
        <v>30</v>
      </c>
      <c r="C100" s="13" t="s">
        <v>515</v>
      </c>
      <c r="D100" s="13" t="s">
        <v>564</v>
      </c>
      <c r="E100" s="13" t="s">
        <v>565</v>
      </c>
      <c r="F100" s="13" t="s">
        <v>566</v>
      </c>
      <c r="G100" s="13" t="s">
        <v>61</v>
      </c>
      <c r="H100" s="13" t="s">
        <v>567</v>
      </c>
      <c r="I100" s="12" t="s">
        <v>157</v>
      </c>
      <c r="J100" s="12" t="s">
        <v>63</v>
      </c>
      <c r="K100" s="13"/>
      <c r="L100" s="12" t="s">
        <v>16</v>
      </c>
      <c r="M100" s="12"/>
      <c r="N100" s="12"/>
      <c r="O100" s="13"/>
    </row>
    <row r="101" customFormat="false" ht="23.85" hidden="false" customHeight="false" outlineLevel="0" collapsed="false">
      <c r="A101" s="12" t="s">
        <v>568</v>
      </c>
      <c r="B101" s="13" t="s">
        <v>30</v>
      </c>
      <c r="C101" s="13" t="s">
        <v>515</v>
      </c>
      <c r="D101" s="13" t="s">
        <v>569</v>
      </c>
      <c r="E101" s="13" t="s">
        <v>570</v>
      </c>
      <c r="F101" s="13" t="s">
        <v>571</v>
      </c>
      <c r="G101" s="13" t="s">
        <v>61</v>
      </c>
      <c r="H101" s="13" t="s">
        <v>572</v>
      </c>
      <c r="I101" s="12" t="s">
        <v>157</v>
      </c>
      <c r="J101" s="12" t="s">
        <v>81</v>
      </c>
      <c r="K101" s="13"/>
      <c r="L101" s="12" t="s">
        <v>16</v>
      </c>
      <c r="M101" s="12"/>
      <c r="N101" s="12"/>
      <c r="O101" s="13" t="s">
        <v>573</v>
      </c>
    </row>
    <row r="102" customFormat="false" ht="15" hidden="false" customHeight="false" outlineLevel="0" collapsed="false">
      <c r="A102" s="12" t="s">
        <v>574</v>
      </c>
      <c r="B102" s="13" t="s">
        <v>30</v>
      </c>
      <c r="C102" s="13" t="s">
        <v>522</v>
      </c>
      <c r="D102" s="13" t="s">
        <v>575</v>
      </c>
      <c r="E102" s="13" t="s">
        <v>576</v>
      </c>
      <c r="F102" s="13" t="s">
        <v>577</v>
      </c>
      <c r="G102" s="13" t="s">
        <v>61</v>
      </c>
      <c r="H102" s="13" t="s">
        <v>578</v>
      </c>
      <c r="I102" s="12" t="s">
        <v>157</v>
      </c>
      <c r="J102" s="12" t="s">
        <v>81</v>
      </c>
      <c r="K102" s="13"/>
      <c r="L102" s="12" t="s">
        <v>16</v>
      </c>
      <c r="M102" s="12"/>
      <c r="N102" s="12"/>
      <c r="O102" s="13"/>
    </row>
    <row r="103" customFormat="false" ht="23.85" hidden="false" customHeight="false" outlineLevel="0" collapsed="false">
      <c r="A103" s="12" t="s">
        <v>579</v>
      </c>
      <c r="B103" s="13" t="s">
        <v>31</v>
      </c>
      <c r="C103" s="13" t="s">
        <v>580</v>
      </c>
      <c r="D103" s="13" t="s">
        <v>581</v>
      </c>
      <c r="E103" s="13" t="s">
        <v>582</v>
      </c>
      <c r="F103" s="13" t="s">
        <v>583</v>
      </c>
      <c r="G103" s="13" t="s">
        <v>584</v>
      </c>
      <c r="H103" s="13" t="s">
        <v>585</v>
      </c>
      <c r="I103" s="12" t="s">
        <v>43</v>
      </c>
      <c r="J103" s="12" t="s">
        <v>63</v>
      </c>
      <c r="K103" s="13"/>
      <c r="L103" s="12" t="s">
        <v>16</v>
      </c>
      <c r="M103" s="12"/>
      <c r="N103" s="12"/>
      <c r="O103" s="13"/>
    </row>
    <row r="104" customFormat="false" ht="15" hidden="false" customHeight="false" outlineLevel="0" collapsed="false">
      <c r="A104" s="12" t="s">
        <v>586</v>
      </c>
      <c r="B104" s="13" t="s">
        <v>31</v>
      </c>
      <c r="C104" s="13" t="s">
        <v>580</v>
      </c>
      <c r="D104" s="13" t="s">
        <v>587</v>
      </c>
      <c r="E104" s="13" t="s">
        <v>588</v>
      </c>
      <c r="F104" s="13" t="s">
        <v>589</v>
      </c>
      <c r="G104" s="13" t="s">
        <v>61</v>
      </c>
      <c r="H104" s="13" t="s">
        <v>590</v>
      </c>
      <c r="I104" s="12" t="s">
        <v>157</v>
      </c>
      <c r="J104" s="12" t="s">
        <v>63</v>
      </c>
      <c r="K104" s="13"/>
      <c r="L104" s="12" t="s">
        <v>16</v>
      </c>
      <c r="M104" s="12"/>
      <c r="N104" s="12"/>
      <c r="O104" s="13"/>
    </row>
    <row r="105" customFormat="false" ht="23.85" hidden="false" customHeight="false" outlineLevel="0" collapsed="false">
      <c r="A105" s="12" t="s">
        <v>591</v>
      </c>
      <c r="B105" s="13" t="s">
        <v>31</v>
      </c>
      <c r="C105" s="13" t="s">
        <v>580</v>
      </c>
      <c r="D105" s="13" t="s">
        <v>592</v>
      </c>
      <c r="E105" s="13" t="s">
        <v>593</v>
      </c>
      <c r="F105" s="13" t="s">
        <v>594</v>
      </c>
      <c r="G105" s="13" t="s">
        <v>595</v>
      </c>
      <c r="H105" s="13" t="s">
        <v>596</v>
      </c>
      <c r="I105" s="12" t="s">
        <v>157</v>
      </c>
      <c r="J105" s="12" t="s">
        <v>119</v>
      </c>
      <c r="K105" s="13"/>
      <c r="L105" s="12" t="s">
        <v>16</v>
      </c>
      <c r="M105" s="12"/>
      <c r="N105" s="12"/>
      <c r="O105" s="13" t="s">
        <v>597</v>
      </c>
    </row>
    <row r="106" customFormat="false" ht="15" hidden="false" customHeight="false" outlineLevel="0" collapsed="false">
      <c r="A106" s="12" t="s">
        <v>598</v>
      </c>
      <c r="B106" s="13" t="s">
        <v>31</v>
      </c>
      <c r="C106" s="13" t="s">
        <v>599</v>
      </c>
      <c r="D106" s="13" t="s">
        <v>600</v>
      </c>
      <c r="E106" s="13" t="s">
        <v>601</v>
      </c>
      <c r="F106" s="13" t="s">
        <v>602</v>
      </c>
      <c r="G106" s="13" t="s">
        <v>61</v>
      </c>
      <c r="H106" s="13" t="s">
        <v>603</v>
      </c>
      <c r="I106" s="12" t="s">
        <v>512</v>
      </c>
      <c r="J106" s="12" t="s">
        <v>81</v>
      </c>
      <c r="K106" s="13"/>
      <c r="L106" s="12" t="s">
        <v>16</v>
      </c>
      <c r="M106" s="12"/>
      <c r="N106" s="12"/>
      <c r="O106" s="13"/>
    </row>
    <row r="107" customFormat="false" ht="15" hidden="false" customHeight="false" outlineLevel="0" collapsed="false">
      <c r="A107" s="12" t="s">
        <v>604</v>
      </c>
      <c r="B107" s="13" t="s">
        <v>31</v>
      </c>
      <c r="C107" s="13" t="s">
        <v>599</v>
      </c>
      <c r="D107" s="13" t="s">
        <v>605</v>
      </c>
      <c r="E107" s="13" t="s">
        <v>606</v>
      </c>
      <c r="F107" s="13" t="s">
        <v>607</v>
      </c>
      <c r="G107" s="13" t="s">
        <v>61</v>
      </c>
      <c r="H107" s="13" t="s">
        <v>608</v>
      </c>
      <c r="I107" s="12" t="s">
        <v>43</v>
      </c>
      <c r="J107" s="12" t="s">
        <v>63</v>
      </c>
      <c r="K107" s="13"/>
      <c r="L107" s="12" t="s">
        <v>16</v>
      </c>
      <c r="M107" s="12"/>
      <c r="N107" s="12"/>
      <c r="O107" s="13"/>
    </row>
    <row r="108" customFormat="false" ht="15" hidden="false" customHeight="false" outlineLevel="0" collapsed="false">
      <c r="A108" s="12" t="s">
        <v>609</v>
      </c>
      <c r="B108" s="13" t="s">
        <v>31</v>
      </c>
      <c r="C108" s="13" t="s">
        <v>599</v>
      </c>
      <c r="D108" s="13" t="s">
        <v>610</v>
      </c>
      <c r="E108" s="13" t="s">
        <v>611</v>
      </c>
      <c r="F108" s="13" t="s">
        <v>607</v>
      </c>
      <c r="G108" s="13" t="s">
        <v>61</v>
      </c>
      <c r="H108" s="13" t="s">
        <v>612</v>
      </c>
      <c r="I108" s="12" t="s">
        <v>80</v>
      </c>
      <c r="J108" s="12" t="s">
        <v>81</v>
      </c>
      <c r="K108" s="13"/>
      <c r="L108" s="12" t="s">
        <v>16</v>
      </c>
      <c r="M108" s="12"/>
      <c r="N108" s="12"/>
      <c r="O108" s="13"/>
    </row>
    <row r="109" customFormat="false" ht="23.85" hidden="false" customHeight="false" outlineLevel="0" collapsed="false">
      <c r="A109" s="12" t="s">
        <v>613</v>
      </c>
      <c r="B109" s="13" t="s">
        <v>31</v>
      </c>
      <c r="C109" s="13" t="s">
        <v>599</v>
      </c>
      <c r="D109" s="13" t="s">
        <v>614</v>
      </c>
      <c r="E109" s="13" t="s">
        <v>615</v>
      </c>
      <c r="F109" s="13" t="s">
        <v>616</v>
      </c>
      <c r="G109" s="13" t="s">
        <v>61</v>
      </c>
      <c r="H109" s="13" t="s">
        <v>617</v>
      </c>
      <c r="I109" s="12" t="s">
        <v>157</v>
      </c>
      <c r="J109" s="12" t="s">
        <v>119</v>
      </c>
      <c r="K109" s="13"/>
      <c r="L109" s="12" t="s">
        <v>16</v>
      </c>
      <c r="M109" s="12"/>
      <c r="N109" s="12"/>
      <c r="O109" s="13"/>
    </row>
    <row r="110" customFormat="false" ht="15" hidden="false" customHeight="false" outlineLevel="0" collapsed="false">
      <c r="A110" s="12" t="s">
        <v>618</v>
      </c>
      <c r="B110" s="13" t="s">
        <v>31</v>
      </c>
      <c r="C110" s="13" t="s">
        <v>619</v>
      </c>
      <c r="D110" s="13" t="s">
        <v>620</v>
      </c>
      <c r="E110" s="13" t="s">
        <v>621</v>
      </c>
      <c r="F110" s="13" t="s">
        <v>622</v>
      </c>
      <c r="G110" s="13" t="s">
        <v>623</v>
      </c>
      <c r="H110" s="13" t="s">
        <v>624</v>
      </c>
      <c r="I110" s="12" t="s">
        <v>157</v>
      </c>
      <c r="J110" s="12" t="s">
        <v>81</v>
      </c>
      <c r="K110" s="13"/>
      <c r="L110" s="12" t="s">
        <v>16</v>
      </c>
      <c r="M110" s="12"/>
      <c r="N110" s="12"/>
      <c r="O110" s="13"/>
    </row>
    <row r="111" customFormat="false" ht="23.85" hidden="false" customHeight="false" outlineLevel="0" collapsed="false">
      <c r="A111" s="12" t="s">
        <v>625</v>
      </c>
      <c r="B111" s="13" t="s">
        <v>32</v>
      </c>
      <c r="C111" s="13" t="s">
        <v>626</v>
      </c>
      <c r="D111" s="13" t="s">
        <v>627</v>
      </c>
      <c r="E111" s="13" t="s">
        <v>61</v>
      </c>
      <c r="F111" s="13" t="s">
        <v>628</v>
      </c>
      <c r="G111" s="13" t="s">
        <v>61</v>
      </c>
      <c r="H111" s="13" t="s">
        <v>629</v>
      </c>
      <c r="I111" s="12" t="s">
        <v>512</v>
      </c>
      <c r="J111" s="12" t="s">
        <v>63</v>
      </c>
      <c r="K111" s="13"/>
      <c r="L111" s="12" t="s">
        <v>16</v>
      </c>
      <c r="M111" s="12"/>
      <c r="N111" s="12"/>
      <c r="O111" s="13"/>
    </row>
    <row r="112" customFormat="false" ht="15" hidden="false" customHeight="false" outlineLevel="0" collapsed="false">
      <c r="A112" s="12" t="s">
        <v>630</v>
      </c>
      <c r="B112" s="13" t="s">
        <v>32</v>
      </c>
      <c r="C112" s="13" t="s">
        <v>626</v>
      </c>
      <c r="D112" s="13" t="s">
        <v>631</v>
      </c>
      <c r="E112" s="13" t="s">
        <v>61</v>
      </c>
      <c r="F112" s="13" t="s">
        <v>632</v>
      </c>
      <c r="G112" s="13" t="s">
        <v>61</v>
      </c>
      <c r="H112" s="13" t="s">
        <v>633</v>
      </c>
      <c r="I112" s="12" t="s">
        <v>512</v>
      </c>
      <c r="J112" s="12" t="s">
        <v>63</v>
      </c>
      <c r="K112" s="13"/>
      <c r="L112" s="12" t="s">
        <v>16</v>
      </c>
      <c r="M112" s="12"/>
      <c r="N112" s="12"/>
      <c r="O112" s="13"/>
    </row>
    <row r="113" customFormat="false" ht="15" hidden="false" customHeight="false" outlineLevel="0" collapsed="false">
      <c r="A113" s="12" t="s">
        <v>634</v>
      </c>
      <c r="B113" s="13" t="s">
        <v>32</v>
      </c>
      <c r="C113" s="13" t="s">
        <v>626</v>
      </c>
      <c r="D113" s="13" t="s">
        <v>635</v>
      </c>
      <c r="E113" s="13" t="s">
        <v>61</v>
      </c>
      <c r="F113" s="13" t="s">
        <v>636</v>
      </c>
      <c r="G113" s="13" t="s">
        <v>61</v>
      </c>
      <c r="H113" s="13" t="s">
        <v>637</v>
      </c>
      <c r="I113" s="12" t="s">
        <v>512</v>
      </c>
      <c r="J113" s="12" t="s">
        <v>81</v>
      </c>
      <c r="K113" s="13"/>
      <c r="L113" s="12" t="s">
        <v>16</v>
      </c>
      <c r="M113" s="12"/>
      <c r="N113" s="12"/>
      <c r="O113" s="13"/>
    </row>
    <row r="114" customFormat="false" ht="15" hidden="false" customHeight="false" outlineLevel="0" collapsed="false">
      <c r="A114" s="12" t="s">
        <v>638</v>
      </c>
      <c r="B114" s="13" t="s">
        <v>32</v>
      </c>
      <c r="C114" s="13" t="s">
        <v>626</v>
      </c>
      <c r="D114" s="13" t="s">
        <v>639</v>
      </c>
      <c r="E114" s="13" t="s">
        <v>61</v>
      </c>
      <c r="F114" s="13" t="s">
        <v>491</v>
      </c>
      <c r="G114" s="13" t="s">
        <v>61</v>
      </c>
      <c r="H114" s="13" t="s">
        <v>640</v>
      </c>
      <c r="I114" s="12" t="s">
        <v>512</v>
      </c>
      <c r="J114" s="12" t="s">
        <v>63</v>
      </c>
      <c r="K114" s="13"/>
      <c r="L114" s="12" t="s">
        <v>16</v>
      </c>
      <c r="M114" s="12"/>
      <c r="N114" s="12"/>
      <c r="O114" s="13"/>
    </row>
    <row r="115" customFormat="false" ht="15" hidden="false" customHeight="false" outlineLevel="0" collapsed="false">
      <c r="A115" s="12" t="s">
        <v>641</v>
      </c>
      <c r="B115" s="13" t="s">
        <v>32</v>
      </c>
      <c r="C115" s="13" t="s">
        <v>642</v>
      </c>
      <c r="D115" s="13" t="s">
        <v>643</v>
      </c>
      <c r="E115" s="13" t="s">
        <v>644</v>
      </c>
      <c r="F115" s="13" t="s">
        <v>518</v>
      </c>
      <c r="G115" s="13" t="s">
        <v>61</v>
      </c>
      <c r="H115" s="13" t="s">
        <v>645</v>
      </c>
      <c r="I115" s="12" t="s">
        <v>512</v>
      </c>
      <c r="J115" s="12" t="s">
        <v>63</v>
      </c>
      <c r="K115" s="13"/>
      <c r="L115" s="12" t="s">
        <v>16</v>
      </c>
      <c r="M115" s="12"/>
      <c r="N115" s="12"/>
      <c r="O115" s="13"/>
    </row>
    <row r="116" customFormat="false" ht="15" hidden="false" customHeight="false" outlineLevel="0" collapsed="false">
      <c r="A116" s="12" t="s">
        <v>646</v>
      </c>
      <c r="B116" s="13" t="s">
        <v>32</v>
      </c>
      <c r="C116" s="13" t="s">
        <v>642</v>
      </c>
      <c r="D116" s="13" t="s">
        <v>647</v>
      </c>
      <c r="E116" s="13" t="s">
        <v>61</v>
      </c>
      <c r="F116" s="13" t="s">
        <v>648</v>
      </c>
      <c r="G116" s="13" t="s">
        <v>61</v>
      </c>
      <c r="H116" s="13" t="s">
        <v>649</v>
      </c>
      <c r="I116" s="12" t="s">
        <v>512</v>
      </c>
      <c r="J116" s="12" t="s">
        <v>81</v>
      </c>
      <c r="K116" s="13"/>
      <c r="L116" s="12" t="s">
        <v>16</v>
      </c>
      <c r="M116" s="12"/>
      <c r="N116" s="12"/>
      <c r="O116" s="13"/>
    </row>
    <row r="117" customFormat="false" ht="15" hidden="false" customHeight="false" outlineLevel="0" collapsed="false">
      <c r="A117" s="12" t="s">
        <v>650</v>
      </c>
      <c r="B117" s="13" t="s">
        <v>32</v>
      </c>
      <c r="C117" s="13" t="s">
        <v>626</v>
      </c>
      <c r="D117" s="13" t="s">
        <v>651</v>
      </c>
      <c r="E117" s="13" t="s">
        <v>652</v>
      </c>
      <c r="F117" s="13" t="s">
        <v>653</v>
      </c>
      <c r="G117" s="13" t="s">
        <v>61</v>
      </c>
      <c r="H117" s="13" t="s">
        <v>654</v>
      </c>
      <c r="I117" s="12" t="s">
        <v>157</v>
      </c>
      <c r="J117" s="12" t="s">
        <v>119</v>
      </c>
      <c r="K117" s="13"/>
      <c r="L117" s="12" t="s">
        <v>16</v>
      </c>
      <c r="M117" s="12"/>
      <c r="N117" s="12"/>
      <c r="O117" s="13"/>
    </row>
    <row r="118" customFormat="false" ht="23.85" hidden="false" customHeight="false" outlineLevel="0" collapsed="false">
      <c r="A118" s="12" t="s">
        <v>655</v>
      </c>
      <c r="B118" s="13" t="s">
        <v>33</v>
      </c>
      <c r="C118" s="13" t="s">
        <v>656</v>
      </c>
      <c r="D118" s="13" t="s">
        <v>657</v>
      </c>
      <c r="E118" s="13" t="s">
        <v>658</v>
      </c>
      <c r="F118" s="13" t="s">
        <v>659</v>
      </c>
      <c r="G118" s="13" t="s">
        <v>660</v>
      </c>
      <c r="H118" s="13" t="s">
        <v>661</v>
      </c>
      <c r="I118" s="12" t="s">
        <v>43</v>
      </c>
      <c r="J118" s="12" t="s">
        <v>63</v>
      </c>
      <c r="K118" s="13"/>
      <c r="L118" s="12" t="s">
        <v>16</v>
      </c>
      <c r="M118" s="12"/>
      <c r="N118" s="12"/>
      <c r="O118" s="13" t="s">
        <v>662</v>
      </c>
    </row>
    <row r="119" customFormat="false" ht="23.85" hidden="false" customHeight="false" outlineLevel="0" collapsed="false">
      <c r="A119" s="12" t="s">
        <v>663</v>
      </c>
      <c r="B119" s="13" t="s">
        <v>33</v>
      </c>
      <c r="C119" s="13" t="s">
        <v>656</v>
      </c>
      <c r="D119" s="13" t="s">
        <v>664</v>
      </c>
      <c r="E119" s="13" t="s">
        <v>61</v>
      </c>
      <c r="F119" s="13" t="s">
        <v>665</v>
      </c>
      <c r="G119" s="13" t="s">
        <v>61</v>
      </c>
      <c r="H119" s="13" t="s">
        <v>666</v>
      </c>
      <c r="I119" s="12" t="s">
        <v>43</v>
      </c>
      <c r="J119" s="12" t="s">
        <v>63</v>
      </c>
      <c r="K119" s="13"/>
      <c r="L119" s="12" t="s">
        <v>16</v>
      </c>
      <c r="M119" s="12"/>
      <c r="N119" s="12"/>
      <c r="O119" s="13"/>
    </row>
    <row r="120" customFormat="false" ht="15" hidden="false" customHeight="false" outlineLevel="0" collapsed="false">
      <c r="A120" s="12" t="s">
        <v>667</v>
      </c>
      <c r="B120" s="13" t="s">
        <v>33</v>
      </c>
      <c r="C120" s="13" t="s">
        <v>656</v>
      </c>
      <c r="D120" s="13" t="s">
        <v>668</v>
      </c>
      <c r="E120" s="13" t="s">
        <v>61</v>
      </c>
      <c r="F120" s="13" t="s">
        <v>669</v>
      </c>
      <c r="G120" s="13" t="s">
        <v>61</v>
      </c>
      <c r="H120" s="13" t="s">
        <v>670</v>
      </c>
      <c r="I120" s="12" t="s">
        <v>43</v>
      </c>
      <c r="J120" s="12" t="s">
        <v>63</v>
      </c>
      <c r="K120" s="13"/>
      <c r="L120" s="12" t="s">
        <v>16</v>
      </c>
      <c r="M120" s="12"/>
      <c r="N120" s="12"/>
      <c r="O120" s="13"/>
    </row>
    <row r="121" customFormat="false" ht="15" hidden="false" customHeight="false" outlineLevel="0" collapsed="false">
      <c r="A121" s="12" t="s">
        <v>671</v>
      </c>
      <c r="B121" s="13" t="s">
        <v>33</v>
      </c>
      <c r="C121" s="13" t="s">
        <v>656</v>
      </c>
      <c r="D121" s="13" t="s">
        <v>672</v>
      </c>
      <c r="E121" s="13" t="s">
        <v>61</v>
      </c>
      <c r="F121" s="13" t="s">
        <v>673</v>
      </c>
      <c r="G121" s="13" t="s">
        <v>61</v>
      </c>
      <c r="H121" s="13" t="s">
        <v>674</v>
      </c>
      <c r="I121" s="12" t="s">
        <v>43</v>
      </c>
      <c r="J121" s="12" t="s">
        <v>63</v>
      </c>
      <c r="K121" s="13"/>
      <c r="L121" s="12" t="s">
        <v>16</v>
      </c>
      <c r="M121" s="12"/>
      <c r="N121" s="12"/>
      <c r="O121" s="13"/>
    </row>
    <row r="122" customFormat="false" ht="15" hidden="false" customHeight="false" outlineLevel="0" collapsed="false">
      <c r="A122" s="12" t="s">
        <v>675</v>
      </c>
      <c r="B122" s="13" t="s">
        <v>33</v>
      </c>
      <c r="C122" s="13" t="s">
        <v>656</v>
      </c>
      <c r="D122" s="13" t="s">
        <v>676</v>
      </c>
      <c r="E122" s="13" t="s">
        <v>61</v>
      </c>
      <c r="F122" s="13" t="s">
        <v>677</v>
      </c>
      <c r="G122" s="13" t="s">
        <v>61</v>
      </c>
      <c r="H122" s="13" t="s">
        <v>678</v>
      </c>
      <c r="I122" s="12" t="s">
        <v>43</v>
      </c>
      <c r="J122" s="12" t="s">
        <v>63</v>
      </c>
      <c r="K122" s="13"/>
      <c r="L122" s="12" t="s">
        <v>16</v>
      </c>
      <c r="M122" s="12"/>
      <c r="N122" s="12"/>
      <c r="O122" s="13"/>
    </row>
    <row r="123" customFormat="false" ht="23.85" hidden="false" customHeight="false" outlineLevel="0" collapsed="false">
      <c r="A123" s="12" t="s">
        <v>679</v>
      </c>
      <c r="B123" s="13" t="s">
        <v>33</v>
      </c>
      <c r="C123" s="13" t="s">
        <v>656</v>
      </c>
      <c r="D123" s="13" t="s">
        <v>680</v>
      </c>
      <c r="E123" s="13" t="s">
        <v>681</v>
      </c>
      <c r="F123" s="13" t="s">
        <v>682</v>
      </c>
      <c r="G123" s="13" t="s">
        <v>61</v>
      </c>
      <c r="H123" s="13" t="s">
        <v>683</v>
      </c>
      <c r="I123" s="12" t="s">
        <v>157</v>
      </c>
      <c r="J123" s="12" t="s">
        <v>81</v>
      </c>
      <c r="K123" s="13"/>
      <c r="L123" s="12" t="s">
        <v>16</v>
      </c>
      <c r="M123" s="12"/>
      <c r="N123" s="12"/>
      <c r="O123" s="13"/>
    </row>
    <row r="124" customFormat="false" ht="23.85" hidden="false" customHeight="false" outlineLevel="0" collapsed="false">
      <c r="A124" s="12" t="s">
        <v>684</v>
      </c>
      <c r="B124" s="13" t="s">
        <v>33</v>
      </c>
      <c r="C124" s="13" t="s">
        <v>656</v>
      </c>
      <c r="D124" s="13" t="s">
        <v>685</v>
      </c>
      <c r="E124" s="13" t="s">
        <v>61</v>
      </c>
      <c r="F124" s="13" t="s">
        <v>686</v>
      </c>
      <c r="G124" s="13" t="s">
        <v>61</v>
      </c>
      <c r="H124" s="13" t="s">
        <v>687</v>
      </c>
      <c r="I124" s="12" t="s">
        <v>43</v>
      </c>
      <c r="J124" s="12" t="s">
        <v>119</v>
      </c>
      <c r="K124" s="13"/>
      <c r="L124" s="12" t="s">
        <v>16</v>
      </c>
      <c r="M124" s="12"/>
      <c r="N124" s="12"/>
      <c r="O124" s="13"/>
    </row>
    <row r="125" customFormat="false" ht="15" hidden="false" customHeight="false" outlineLevel="0" collapsed="false">
      <c r="A125" s="12" t="s">
        <v>688</v>
      </c>
      <c r="B125" s="13" t="s">
        <v>33</v>
      </c>
      <c r="C125" s="13" t="s">
        <v>689</v>
      </c>
      <c r="D125" s="13" t="s">
        <v>690</v>
      </c>
      <c r="E125" s="13" t="s">
        <v>61</v>
      </c>
      <c r="F125" s="13" t="s">
        <v>691</v>
      </c>
      <c r="G125" s="13" t="s">
        <v>61</v>
      </c>
      <c r="H125" s="13" t="s">
        <v>692</v>
      </c>
      <c r="I125" s="12" t="s">
        <v>43</v>
      </c>
      <c r="J125" s="12" t="s">
        <v>63</v>
      </c>
      <c r="K125" s="13"/>
      <c r="L125" s="12" t="s">
        <v>16</v>
      </c>
      <c r="M125" s="12"/>
      <c r="N125" s="12"/>
      <c r="O125" s="13"/>
    </row>
    <row r="126" customFormat="false" ht="15" hidden="false" customHeight="false" outlineLevel="0" collapsed="false">
      <c r="A126" s="12" t="s">
        <v>693</v>
      </c>
      <c r="B126" s="13" t="s">
        <v>33</v>
      </c>
      <c r="C126" s="13" t="s">
        <v>689</v>
      </c>
      <c r="D126" s="13" t="s">
        <v>694</v>
      </c>
      <c r="E126" s="13" t="s">
        <v>61</v>
      </c>
      <c r="F126" s="13" t="s">
        <v>695</v>
      </c>
      <c r="G126" s="13" t="s">
        <v>61</v>
      </c>
      <c r="H126" s="13" t="s">
        <v>696</v>
      </c>
      <c r="I126" s="12" t="s">
        <v>43</v>
      </c>
      <c r="J126" s="12" t="s">
        <v>81</v>
      </c>
      <c r="K126" s="13"/>
      <c r="L126" s="12" t="s">
        <v>16</v>
      </c>
      <c r="M126" s="12"/>
      <c r="N126" s="12"/>
      <c r="O126" s="13"/>
    </row>
    <row r="127" customFormat="false" ht="15" hidden="false" customHeight="false" outlineLevel="0" collapsed="false">
      <c r="A127" s="12" t="s">
        <v>697</v>
      </c>
      <c r="B127" s="13" t="s">
        <v>33</v>
      </c>
      <c r="C127" s="13" t="s">
        <v>698</v>
      </c>
      <c r="D127" s="13" t="s">
        <v>699</v>
      </c>
      <c r="E127" s="13" t="s">
        <v>61</v>
      </c>
      <c r="F127" s="13" t="s">
        <v>700</v>
      </c>
      <c r="G127" s="13" t="s">
        <v>701</v>
      </c>
      <c r="H127" s="13" t="s">
        <v>702</v>
      </c>
      <c r="I127" s="12" t="s">
        <v>157</v>
      </c>
      <c r="J127" s="12" t="s">
        <v>81</v>
      </c>
      <c r="K127" s="13"/>
      <c r="L127" s="12" t="s">
        <v>16</v>
      </c>
      <c r="M127" s="12"/>
      <c r="N127" s="12"/>
      <c r="O127" s="13"/>
    </row>
    <row r="128" customFormat="false" ht="15" hidden="false" customHeight="false" outlineLevel="0" collapsed="false">
      <c r="A128" s="12" t="s">
        <v>703</v>
      </c>
      <c r="B128" s="13" t="s">
        <v>33</v>
      </c>
      <c r="C128" s="13" t="s">
        <v>698</v>
      </c>
      <c r="D128" s="13" t="s">
        <v>704</v>
      </c>
      <c r="E128" s="13" t="s">
        <v>61</v>
      </c>
      <c r="F128" s="13" t="s">
        <v>705</v>
      </c>
      <c r="G128" s="13" t="s">
        <v>61</v>
      </c>
      <c r="H128" s="13" t="s">
        <v>706</v>
      </c>
      <c r="I128" s="12" t="s">
        <v>43</v>
      </c>
      <c r="J128" s="12" t="s">
        <v>81</v>
      </c>
      <c r="K128" s="13"/>
      <c r="L128" s="12" t="s">
        <v>16</v>
      </c>
      <c r="M128" s="12"/>
      <c r="N128" s="12"/>
      <c r="O128" s="13"/>
    </row>
    <row r="129" customFormat="false" ht="15" hidden="false" customHeight="false" outlineLevel="0" collapsed="false">
      <c r="A129" s="12" t="s">
        <v>707</v>
      </c>
      <c r="B129" s="13" t="s">
        <v>34</v>
      </c>
      <c r="C129" s="13" t="s">
        <v>708</v>
      </c>
      <c r="D129" s="13" t="s">
        <v>709</v>
      </c>
      <c r="E129" s="13" t="s">
        <v>710</v>
      </c>
      <c r="F129" s="13" t="s">
        <v>711</v>
      </c>
      <c r="G129" s="13" t="s">
        <v>61</v>
      </c>
      <c r="H129" s="13" t="s">
        <v>712</v>
      </c>
      <c r="I129" s="12" t="s">
        <v>43</v>
      </c>
      <c r="J129" s="12" t="s">
        <v>63</v>
      </c>
      <c r="K129" s="13"/>
      <c r="L129" s="12" t="s">
        <v>16</v>
      </c>
      <c r="M129" s="12"/>
      <c r="N129" s="12"/>
      <c r="O129" s="13"/>
    </row>
    <row r="130" customFormat="false" ht="15" hidden="false" customHeight="false" outlineLevel="0" collapsed="false">
      <c r="A130" s="12" t="s">
        <v>713</v>
      </c>
      <c r="B130" s="13" t="s">
        <v>34</v>
      </c>
      <c r="C130" s="13" t="s">
        <v>708</v>
      </c>
      <c r="D130" s="13" t="s">
        <v>714</v>
      </c>
      <c r="E130" s="13" t="s">
        <v>715</v>
      </c>
      <c r="F130" s="13" t="s">
        <v>716</v>
      </c>
      <c r="G130" s="13" t="s">
        <v>61</v>
      </c>
      <c r="H130" s="13" t="s">
        <v>717</v>
      </c>
      <c r="I130" s="12" t="s">
        <v>43</v>
      </c>
      <c r="J130" s="12" t="s">
        <v>63</v>
      </c>
      <c r="K130" s="13"/>
      <c r="L130" s="12" t="s">
        <v>16</v>
      </c>
      <c r="M130" s="12"/>
      <c r="N130" s="12"/>
      <c r="O130" s="13"/>
    </row>
    <row r="131" customFormat="false" ht="15" hidden="false" customHeight="false" outlineLevel="0" collapsed="false">
      <c r="A131" s="12" t="s">
        <v>718</v>
      </c>
      <c r="B131" s="13" t="s">
        <v>34</v>
      </c>
      <c r="C131" s="13" t="s">
        <v>708</v>
      </c>
      <c r="D131" s="13" t="s">
        <v>719</v>
      </c>
      <c r="E131" s="13" t="s">
        <v>715</v>
      </c>
      <c r="F131" s="13" t="s">
        <v>720</v>
      </c>
      <c r="G131" s="13" t="s">
        <v>61</v>
      </c>
      <c r="H131" s="13" t="s">
        <v>721</v>
      </c>
      <c r="I131" s="12" t="s">
        <v>80</v>
      </c>
      <c r="J131" s="12" t="s">
        <v>63</v>
      </c>
      <c r="K131" s="13"/>
      <c r="L131" s="12" t="s">
        <v>16</v>
      </c>
      <c r="M131" s="12"/>
      <c r="N131" s="12"/>
      <c r="O131" s="13"/>
    </row>
    <row r="132" customFormat="false" ht="15" hidden="false" customHeight="false" outlineLevel="0" collapsed="false">
      <c r="A132" s="12" t="s">
        <v>722</v>
      </c>
      <c r="B132" s="13" t="s">
        <v>34</v>
      </c>
      <c r="C132" s="13" t="s">
        <v>708</v>
      </c>
      <c r="D132" s="13" t="s">
        <v>723</v>
      </c>
      <c r="E132" s="13" t="s">
        <v>724</v>
      </c>
      <c r="F132" s="13" t="s">
        <v>725</v>
      </c>
      <c r="G132" s="13" t="s">
        <v>61</v>
      </c>
      <c r="H132" s="13" t="s">
        <v>726</v>
      </c>
      <c r="I132" s="12" t="s">
        <v>157</v>
      </c>
      <c r="J132" s="12" t="s">
        <v>63</v>
      </c>
      <c r="K132" s="13"/>
      <c r="L132" s="12" t="s">
        <v>16</v>
      </c>
      <c r="M132" s="12"/>
      <c r="N132" s="12"/>
      <c r="O132" s="13"/>
    </row>
    <row r="133" customFormat="false" ht="23.85" hidden="false" customHeight="false" outlineLevel="0" collapsed="false">
      <c r="A133" s="12" t="s">
        <v>727</v>
      </c>
      <c r="B133" s="13" t="s">
        <v>34</v>
      </c>
      <c r="C133" s="13" t="s">
        <v>708</v>
      </c>
      <c r="D133" s="13" t="s">
        <v>728</v>
      </c>
      <c r="E133" s="13" t="s">
        <v>729</v>
      </c>
      <c r="F133" s="13" t="s">
        <v>730</v>
      </c>
      <c r="G133" s="13" t="s">
        <v>61</v>
      </c>
      <c r="H133" s="13" t="s">
        <v>731</v>
      </c>
      <c r="I133" s="12" t="s">
        <v>43</v>
      </c>
      <c r="J133" s="12" t="s">
        <v>63</v>
      </c>
      <c r="K133" s="13"/>
      <c r="L133" s="12" t="s">
        <v>16</v>
      </c>
      <c r="M133" s="12"/>
      <c r="N133" s="12"/>
      <c r="O133" s="13"/>
    </row>
    <row r="134" customFormat="false" ht="23.85" hidden="false" customHeight="false" outlineLevel="0" collapsed="false">
      <c r="A134" s="12" t="s">
        <v>732</v>
      </c>
      <c r="B134" s="13" t="s">
        <v>34</v>
      </c>
      <c r="C134" s="13" t="s">
        <v>708</v>
      </c>
      <c r="D134" s="13" t="s">
        <v>733</v>
      </c>
      <c r="E134" s="13" t="s">
        <v>734</v>
      </c>
      <c r="F134" s="13" t="s">
        <v>735</v>
      </c>
      <c r="G134" s="13" t="s">
        <v>61</v>
      </c>
      <c r="H134" s="13" t="s">
        <v>736</v>
      </c>
      <c r="I134" s="12" t="s">
        <v>80</v>
      </c>
      <c r="J134" s="12" t="s">
        <v>81</v>
      </c>
      <c r="K134" s="13"/>
      <c r="L134" s="12" t="s">
        <v>16</v>
      </c>
      <c r="M134" s="12"/>
      <c r="N134" s="12"/>
      <c r="O134" s="13"/>
    </row>
    <row r="135" customFormat="false" ht="23.85" hidden="false" customHeight="false" outlineLevel="0" collapsed="false">
      <c r="A135" s="12" t="s">
        <v>737</v>
      </c>
      <c r="B135" s="13" t="s">
        <v>34</v>
      </c>
      <c r="C135" s="13" t="s">
        <v>708</v>
      </c>
      <c r="D135" s="13" t="s">
        <v>738</v>
      </c>
      <c r="E135" s="13" t="s">
        <v>739</v>
      </c>
      <c r="F135" s="13" t="s">
        <v>740</v>
      </c>
      <c r="G135" s="13" t="s">
        <v>61</v>
      </c>
      <c r="H135" s="13" t="s">
        <v>741</v>
      </c>
      <c r="I135" s="12" t="s">
        <v>157</v>
      </c>
      <c r="J135" s="12" t="s">
        <v>81</v>
      </c>
      <c r="K135" s="13"/>
      <c r="L135" s="12" t="s">
        <v>16</v>
      </c>
      <c r="M135" s="12"/>
      <c r="N135" s="12"/>
      <c r="O135" s="13"/>
    </row>
    <row r="136" customFormat="false" ht="15" hidden="false" customHeight="false" outlineLevel="0" collapsed="false">
      <c r="A136" s="12" t="s">
        <v>742</v>
      </c>
      <c r="B136" s="13" t="s">
        <v>35</v>
      </c>
      <c r="C136" s="13" t="s">
        <v>743</v>
      </c>
      <c r="D136" s="13" t="s">
        <v>744</v>
      </c>
      <c r="E136" s="13" t="s">
        <v>745</v>
      </c>
      <c r="F136" s="13" t="s">
        <v>746</v>
      </c>
      <c r="G136" s="13" t="s">
        <v>61</v>
      </c>
      <c r="H136" s="13" t="s">
        <v>747</v>
      </c>
      <c r="I136" s="12" t="s">
        <v>43</v>
      </c>
      <c r="J136" s="12" t="s">
        <v>63</v>
      </c>
      <c r="K136" s="13"/>
      <c r="L136" s="12" t="s">
        <v>16</v>
      </c>
      <c r="M136" s="12"/>
      <c r="N136" s="12"/>
      <c r="O136" s="13"/>
    </row>
    <row r="137" customFormat="false" ht="15" hidden="false" customHeight="false" outlineLevel="0" collapsed="false">
      <c r="A137" s="12" t="s">
        <v>748</v>
      </c>
      <c r="B137" s="13" t="s">
        <v>35</v>
      </c>
      <c r="C137" s="13" t="s">
        <v>743</v>
      </c>
      <c r="D137" s="13" t="s">
        <v>749</v>
      </c>
      <c r="E137" s="13" t="s">
        <v>61</v>
      </c>
      <c r="F137" s="13" t="s">
        <v>750</v>
      </c>
      <c r="G137" s="13" t="s">
        <v>498</v>
      </c>
      <c r="H137" s="13" t="s">
        <v>751</v>
      </c>
      <c r="I137" s="12" t="s">
        <v>43</v>
      </c>
      <c r="J137" s="12" t="s">
        <v>63</v>
      </c>
      <c r="K137" s="13"/>
      <c r="L137" s="12" t="s">
        <v>16</v>
      </c>
      <c r="M137" s="12"/>
      <c r="N137" s="12"/>
      <c r="O137" s="13"/>
    </row>
    <row r="138" customFormat="false" ht="15" hidden="false" customHeight="false" outlineLevel="0" collapsed="false">
      <c r="A138" s="12" t="s">
        <v>752</v>
      </c>
      <c r="B138" s="13" t="s">
        <v>35</v>
      </c>
      <c r="C138" s="13" t="s">
        <v>743</v>
      </c>
      <c r="D138" s="13" t="s">
        <v>753</v>
      </c>
      <c r="E138" s="13" t="s">
        <v>61</v>
      </c>
      <c r="F138" s="13" t="s">
        <v>754</v>
      </c>
      <c r="G138" s="13" t="s">
        <v>61</v>
      </c>
      <c r="H138" s="13" t="s">
        <v>755</v>
      </c>
      <c r="I138" s="12" t="s">
        <v>157</v>
      </c>
      <c r="J138" s="12" t="s">
        <v>63</v>
      </c>
      <c r="K138" s="13"/>
      <c r="L138" s="12" t="s">
        <v>16</v>
      </c>
      <c r="M138" s="12"/>
      <c r="N138" s="12"/>
      <c r="O138" s="13"/>
    </row>
    <row r="139" customFormat="false" ht="35.05" hidden="false" customHeight="false" outlineLevel="0" collapsed="false">
      <c r="A139" s="12" t="s">
        <v>756</v>
      </c>
      <c r="B139" s="13" t="s">
        <v>35</v>
      </c>
      <c r="C139" s="13" t="s">
        <v>743</v>
      </c>
      <c r="D139" s="13" t="s">
        <v>757</v>
      </c>
      <c r="E139" s="13" t="s">
        <v>61</v>
      </c>
      <c r="F139" s="13" t="s">
        <v>758</v>
      </c>
      <c r="G139" s="13" t="s">
        <v>61</v>
      </c>
      <c r="H139" s="13" t="s">
        <v>759</v>
      </c>
      <c r="I139" s="12" t="s">
        <v>157</v>
      </c>
      <c r="J139" s="12" t="s">
        <v>81</v>
      </c>
      <c r="K139" s="13"/>
      <c r="L139" s="12" t="s">
        <v>16</v>
      </c>
      <c r="M139" s="12"/>
      <c r="N139" s="12"/>
      <c r="O139" s="13"/>
    </row>
    <row r="140" customFormat="false" ht="15" hidden="false" customHeight="false" outlineLevel="0" collapsed="false">
      <c r="A140" s="12" t="s">
        <v>760</v>
      </c>
      <c r="B140" s="13" t="s">
        <v>35</v>
      </c>
      <c r="C140" s="13" t="s">
        <v>743</v>
      </c>
      <c r="D140" s="13" t="s">
        <v>761</v>
      </c>
      <c r="E140" s="13" t="s">
        <v>762</v>
      </c>
      <c r="F140" s="13" t="s">
        <v>763</v>
      </c>
      <c r="G140" s="13" t="s">
        <v>61</v>
      </c>
      <c r="H140" s="13" t="s">
        <v>764</v>
      </c>
      <c r="I140" s="12" t="s">
        <v>43</v>
      </c>
      <c r="J140" s="12" t="s">
        <v>81</v>
      </c>
      <c r="K140" s="13"/>
      <c r="L140" s="12" t="s">
        <v>16</v>
      </c>
      <c r="M140" s="12"/>
      <c r="N140" s="12"/>
      <c r="O140" s="13"/>
    </row>
    <row r="141" customFormat="false" ht="15" hidden="false" customHeight="false" outlineLevel="0" collapsed="false">
      <c r="A141" s="12" t="s">
        <v>765</v>
      </c>
      <c r="B141" s="13" t="s">
        <v>35</v>
      </c>
      <c r="C141" s="13" t="s">
        <v>743</v>
      </c>
      <c r="D141" s="13" t="s">
        <v>766</v>
      </c>
      <c r="E141" s="13" t="s">
        <v>767</v>
      </c>
      <c r="F141" s="13" t="s">
        <v>768</v>
      </c>
      <c r="G141" s="13" t="s">
        <v>61</v>
      </c>
      <c r="H141" s="13" t="s">
        <v>755</v>
      </c>
      <c r="I141" s="12" t="s">
        <v>157</v>
      </c>
      <c r="J141" s="12" t="s">
        <v>81</v>
      </c>
      <c r="K141" s="13"/>
      <c r="L141" s="12" t="s">
        <v>16</v>
      </c>
      <c r="M141" s="12"/>
      <c r="N141" s="12"/>
      <c r="O141" s="13"/>
    </row>
    <row r="142" customFormat="false" ht="15" hidden="false" customHeight="false" outlineLevel="0" collapsed="false">
      <c r="A142" s="12" t="s">
        <v>769</v>
      </c>
      <c r="B142" s="13" t="s">
        <v>35</v>
      </c>
      <c r="C142" s="13" t="s">
        <v>743</v>
      </c>
      <c r="D142" s="13" t="s">
        <v>770</v>
      </c>
      <c r="E142" s="13" t="s">
        <v>61</v>
      </c>
      <c r="F142" s="13" t="s">
        <v>771</v>
      </c>
      <c r="G142" s="13" t="s">
        <v>61</v>
      </c>
      <c r="H142" s="13" t="s">
        <v>772</v>
      </c>
      <c r="I142" s="12" t="s">
        <v>43</v>
      </c>
      <c r="J142" s="12" t="s">
        <v>81</v>
      </c>
      <c r="K142" s="13"/>
      <c r="L142" s="12" t="s">
        <v>16</v>
      </c>
      <c r="M142" s="12"/>
      <c r="N142" s="12"/>
      <c r="O142" s="13"/>
    </row>
    <row r="143" customFormat="false" ht="15" hidden="false" customHeight="false" outlineLevel="0" collapsed="false">
      <c r="A143" s="12" t="s">
        <v>773</v>
      </c>
      <c r="B143" s="13" t="s">
        <v>36</v>
      </c>
      <c r="C143" s="13" t="s">
        <v>774</v>
      </c>
      <c r="D143" s="13" t="s">
        <v>775</v>
      </c>
      <c r="E143" s="13" t="s">
        <v>776</v>
      </c>
      <c r="F143" s="13" t="s">
        <v>777</v>
      </c>
      <c r="G143" s="13" t="s">
        <v>61</v>
      </c>
      <c r="H143" s="13" t="s">
        <v>778</v>
      </c>
      <c r="I143" s="12" t="s">
        <v>43</v>
      </c>
      <c r="J143" s="12" t="s">
        <v>63</v>
      </c>
      <c r="K143" s="13"/>
      <c r="L143" s="12" t="s">
        <v>16</v>
      </c>
      <c r="M143" s="12"/>
      <c r="N143" s="12"/>
      <c r="O143" s="13"/>
    </row>
    <row r="144" customFormat="false" ht="15" hidden="false" customHeight="false" outlineLevel="0" collapsed="false">
      <c r="A144" s="12" t="s">
        <v>779</v>
      </c>
      <c r="B144" s="13" t="s">
        <v>36</v>
      </c>
      <c r="C144" s="13" t="s">
        <v>774</v>
      </c>
      <c r="D144" s="13" t="s">
        <v>780</v>
      </c>
      <c r="E144" s="13" t="s">
        <v>61</v>
      </c>
      <c r="F144" s="13" t="s">
        <v>781</v>
      </c>
      <c r="G144" s="13" t="s">
        <v>61</v>
      </c>
      <c r="H144" s="13" t="s">
        <v>782</v>
      </c>
      <c r="I144" s="12" t="s">
        <v>80</v>
      </c>
      <c r="J144" s="12" t="s">
        <v>63</v>
      </c>
      <c r="K144" s="13"/>
      <c r="L144" s="12" t="s">
        <v>16</v>
      </c>
      <c r="M144" s="12"/>
      <c r="N144" s="12"/>
      <c r="O144" s="13"/>
    </row>
    <row r="145" customFormat="false" ht="23.85" hidden="false" customHeight="false" outlineLevel="0" collapsed="false">
      <c r="A145" s="12" t="s">
        <v>783</v>
      </c>
      <c r="B145" s="13" t="s">
        <v>36</v>
      </c>
      <c r="C145" s="13" t="s">
        <v>774</v>
      </c>
      <c r="D145" s="13" t="s">
        <v>784</v>
      </c>
      <c r="E145" s="13" t="s">
        <v>785</v>
      </c>
      <c r="F145" s="13" t="s">
        <v>786</v>
      </c>
      <c r="G145" s="13" t="s">
        <v>61</v>
      </c>
      <c r="H145" s="13" t="s">
        <v>787</v>
      </c>
      <c r="I145" s="12" t="s">
        <v>43</v>
      </c>
      <c r="J145" s="12" t="s">
        <v>63</v>
      </c>
      <c r="K145" s="13"/>
      <c r="L145" s="12" t="s">
        <v>16</v>
      </c>
      <c r="M145" s="12"/>
      <c r="N145" s="12"/>
      <c r="O145" s="13"/>
    </row>
    <row r="146" customFormat="false" ht="15" hidden="false" customHeight="false" outlineLevel="0" collapsed="false">
      <c r="A146" s="12" t="s">
        <v>788</v>
      </c>
      <c r="B146" s="13" t="s">
        <v>36</v>
      </c>
      <c r="C146" s="13" t="s">
        <v>774</v>
      </c>
      <c r="D146" s="13" t="s">
        <v>789</v>
      </c>
      <c r="E146" s="13" t="s">
        <v>790</v>
      </c>
      <c r="F146" s="13" t="s">
        <v>791</v>
      </c>
      <c r="G146" s="13" t="s">
        <v>61</v>
      </c>
      <c r="H146" s="13" t="s">
        <v>792</v>
      </c>
      <c r="I146" s="12" t="s">
        <v>43</v>
      </c>
      <c r="J146" s="12" t="s">
        <v>63</v>
      </c>
      <c r="K146" s="13"/>
      <c r="L146" s="12" t="s">
        <v>16</v>
      </c>
      <c r="M146" s="12"/>
      <c r="N146" s="12"/>
      <c r="O146" s="13"/>
    </row>
    <row r="147" customFormat="false" ht="15" hidden="false" customHeight="false" outlineLevel="0" collapsed="false">
      <c r="A147" s="12" t="s">
        <v>793</v>
      </c>
      <c r="B147" s="13" t="s">
        <v>36</v>
      </c>
      <c r="C147" s="13" t="s">
        <v>774</v>
      </c>
      <c r="D147" s="13" t="s">
        <v>794</v>
      </c>
      <c r="E147" s="13" t="s">
        <v>61</v>
      </c>
      <c r="F147" s="13" t="s">
        <v>795</v>
      </c>
      <c r="G147" s="13" t="s">
        <v>796</v>
      </c>
      <c r="H147" s="13" t="s">
        <v>797</v>
      </c>
      <c r="I147" s="12" t="s">
        <v>43</v>
      </c>
      <c r="J147" s="12" t="s">
        <v>81</v>
      </c>
      <c r="K147" s="13"/>
      <c r="L147" s="12" t="s">
        <v>16</v>
      </c>
      <c r="M147" s="12"/>
      <c r="N147" s="12"/>
      <c r="O147" s="13"/>
    </row>
    <row r="148" customFormat="false" ht="23.85" hidden="false" customHeight="false" outlineLevel="0" collapsed="false">
      <c r="A148" s="12" t="s">
        <v>798</v>
      </c>
      <c r="B148" s="13" t="s">
        <v>36</v>
      </c>
      <c r="C148" s="13" t="s">
        <v>774</v>
      </c>
      <c r="D148" s="13" t="s">
        <v>799</v>
      </c>
      <c r="E148" s="13" t="s">
        <v>61</v>
      </c>
      <c r="F148" s="13" t="s">
        <v>800</v>
      </c>
      <c r="G148" s="13" t="s">
        <v>61</v>
      </c>
      <c r="H148" s="13" t="s">
        <v>801</v>
      </c>
      <c r="I148" s="12" t="s">
        <v>43</v>
      </c>
      <c r="J148" s="12" t="s">
        <v>81</v>
      </c>
      <c r="K148" s="13"/>
      <c r="L148" s="12" t="s">
        <v>16</v>
      </c>
      <c r="M148" s="12"/>
      <c r="N148" s="12"/>
      <c r="O148" s="13" t="s">
        <v>802</v>
      </c>
    </row>
    <row r="149" customFormat="false" ht="15" hidden="false" customHeight="false" outlineLevel="0" collapsed="false">
      <c r="A149" s="12" t="s">
        <v>803</v>
      </c>
      <c r="B149" s="13" t="s">
        <v>36</v>
      </c>
      <c r="C149" s="13" t="s">
        <v>774</v>
      </c>
      <c r="D149" s="13" t="s">
        <v>804</v>
      </c>
      <c r="E149" s="13" t="s">
        <v>61</v>
      </c>
      <c r="F149" s="13" t="s">
        <v>791</v>
      </c>
      <c r="G149" s="13" t="s">
        <v>61</v>
      </c>
      <c r="H149" s="13" t="s">
        <v>805</v>
      </c>
      <c r="I149" s="12" t="s">
        <v>157</v>
      </c>
      <c r="J149" s="12" t="s">
        <v>81</v>
      </c>
      <c r="K149" s="13"/>
      <c r="L149" s="12" t="s">
        <v>16</v>
      </c>
      <c r="M149" s="12"/>
      <c r="N149" s="12"/>
      <c r="O149" s="13"/>
    </row>
    <row r="150" customFormat="false" ht="15" hidden="false" customHeight="false" outlineLevel="0" collapsed="false">
      <c r="A150" s="12" t="s">
        <v>806</v>
      </c>
      <c r="B150" s="13" t="s">
        <v>36</v>
      </c>
      <c r="C150" s="13" t="s">
        <v>774</v>
      </c>
      <c r="D150" s="13" t="s">
        <v>807</v>
      </c>
      <c r="E150" s="13" t="s">
        <v>61</v>
      </c>
      <c r="F150" s="13" t="s">
        <v>808</v>
      </c>
      <c r="G150" s="13" t="s">
        <v>61</v>
      </c>
      <c r="H150" s="13" t="s">
        <v>809</v>
      </c>
      <c r="I150" s="12" t="s">
        <v>157</v>
      </c>
      <c r="J150" s="12" t="s">
        <v>119</v>
      </c>
      <c r="K150" s="13"/>
      <c r="L150" s="12" t="s">
        <v>16</v>
      </c>
      <c r="M150" s="12"/>
      <c r="N150" s="12"/>
      <c r="O150" s="13"/>
    </row>
    <row r="151" customFormat="false" ht="23.85" hidden="false" customHeight="false" outlineLevel="0" collapsed="false">
      <c r="A151" s="12" t="s">
        <v>810</v>
      </c>
      <c r="B151" s="13" t="s">
        <v>37</v>
      </c>
      <c r="C151" s="13" t="s">
        <v>811</v>
      </c>
      <c r="D151" s="13" t="s">
        <v>812</v>
      </c>
      <c r="E151" s="13" t="s">
        <v>813</v>
      </c>
      <c r="F151" s="13" t="s">
        <v>814</v>
      </c>
      <c r="G151" s="13" t="s">
        <v>815</v>
      </c>
      <c r="H151" s="13" t="s">
        <v>816</v>
      </c>
      <c r="I151" s="12" t="s">
        <v>43</v>
      </c>
      <c r="J151" s="12" t="s">
        <v>63</v>
      </c>
      <c r="K151" s="13"/>
      <c r="L151" s="12" t="s">
        <v>16</v>
      </c>
      <c r="M151" s="12"/>
      <c r="N151" s="12"/>
      <c r="O151" s="13"/>
    </row>
    <row r="152" customFormat="false" ht="15" hidden="false" customHeight="false" outlineLevel="0" collapsed="false">
      <c r="A152" s="12" t="s">
        <v>817</v>
      </c>
      <c r="B152" s="13" t="s">
        <v>37</v>
      </c>
      <c r="C152" s="13" t="s">
        <v>811</v>
      </c>
      <c r="D152" s="13" t="s">
        <v>818</v>
      </c>
      <c r="E152" s="13" t="s">
        <v>61</v>
      </c>
      <c r="F152" s="13" t="s">
        <v>819</v>
      </c>
      <c r="G152" s="13" t="s">
        <v>61</v>
      </c>
      <c r="H152" s="13" t="s">
        <v>820</v>
      </c>
      <c r="I152" s="12" t="s">
        <v>43</v>
      </c>
      <c r="J152" s="12" t="s">
        <v>63</v>
      </c>
      <c r="K152" s="13"/>
      <c r="L152" s="12" t="s">
        <v>16</v>
      </c>
      <c r="M152" s="12"/>
      <c r="N152" s="12"/>
      <c r="O152" s="13"/>
    </row>
    <row r="153" customFormat="false" ht="15" hidden="false" customHeight="false" outlineLevel="0" collapsed="false">
      <c r="A153" s="12" t="s">
        <v>821</v>
      </c>
      <c r="B153" s="13" t="s">
        <v>37</v>
      </c>
      <c r="C153" s="13" t="s">
        <v>822</v>
      </c>
      <c r="D153" s="13" t="s">
        <v>823</v>
      </c>
      <c r="E153" s="13" t="s">
        <v>824</v>
      </c>
      <c r="F153" s="13" t="s">
        <v>825</v>
      </c>
      <c r="G153" s="13" t="s">
        <v>826</v>
      </c>
      <c r="H153" s="13" t="s">
        <v>827</v>
      </c>
      <c r="I153" s="12" t="s">
        <v>43</v>
      </c>
      <c r="J153" s="12" t="s">
        <v>63</v>
      </c>
      <c r="K153" s="13"/>
      <c r="L153" s="12" t="s">
        <v>16</v>
      </c>
      <c r="M153" s="12"/>
      <c r="N153" s="12"/>
      <c r="O153" s="13"/>
    </row>
    <row r="154" customFormat="false" ht="15" hidden="false" customHeight="false" outlineLevel="0" collapsed="false">
      <c r="A154" s="12" t="s">
        <v>828</v>
      </c>
      <c r="B154" s="13" t="s">
        <v>37</v>
      </c>
      <c r="C154" s="13" t="s">
        <v>822</v>
      </c>
      <c r="D154" s="13" t="s">
        <v>829</v>
      </c>
      <c r="E154" s="13" t="s">
        <v>830</v>
      </c>
      <c r="F154" s="13" t="s">
        <v>831</v>
      </c>
      <c r="G154" s="13" t="s">
        <v>61</v>
      </c>
      <c r="H154" s="13" t="s">
        <v>832</v>
      </c>
      <c r="I154" s="12" t="s">
        <v>157</v>
      </c>
      <c r="J154" s="12" t="s">
        <v>63</v>
      </c>
      <c r="K154" s="13"/>
      <c r="L154" s="12" t="s">
        <v>16</v>
      </c>
      <c r="M154" s="12"/>
      <c r="N154" s="12"/>
      <c r="O154" s="13"/>
    </row>
    <row r="155" customFormat="false" ht="15" hidden="false" customHeight="false" outlineLevel="0" collapsed="false">
      <c r="A155" s="12" t="s">
        <v>833</v>
      </c>
      <c r="B155" s="13" t="s">
        <v>37</v>
      </c>
      <c r="C155" s="13" t="s">
        <v>822</v>
      </c>
      <c r="D155" s="13" t="s">
        <v>834</v>
      </c>
      <c r="E155" s="13" t="s">
        <v>835</v>
      </c>
      <c r="F155" s="13" t="s">
        <v>836</v>
      </c>
      <c r="G155" s="13" t="s">
        <v>837</v>
      </c>
      <c r="H155" s="13" t="s">
        <v>838</v>
      </c>
      <c r="I155" s="12" t="s">
        <v>43</v>
      </c>
      <c r="J155" s="12" t="s">
        <v>63</v>
      </c>
      <c r="K155" s="13"/>
      <c r="L155" s="12" t="s">
        <v>16</v>
      </c>
      <c r="M155" s="12"/>
      <c r="N155" s="12"/>
      <c r="O155" s="13"/>
    </row>
    <row r="156" customFormat="false" ht="15" hidden="false" customHeight="false" outlineLevel="0" collapsed="false">
      <c r="A156" s="12" t="s">
        <v>839</v>
      </c>
      <c r="B156" s="13" t="s">
        <v>37</v>
      </c>
      <c r="C156" s="13" t="s">
        <v>840</v>
      </c>
      <c r="D156" s="13" t="s">
        <v>841</v>
      </c>
      <c r="E156" s="13" t="s">
        <v>61</v>
      </c>
      <c r="F156" s="13" t="s">
        <v>842</v>
      </c>
      <c r="G156" s="13" t="s">
        <v>843</v>
      </c>
      <c r="H156" s="13" t="s">
        <v>844</v>
      </c>
      <c r="I156" s="12" t="s">
        <v>43</v>
      </c>
      <c r="J156" s="12" t="s">
        <v>63</v>
      </c>
      <c r="K156" s="13"/>
      <c r="L156" s="12" t="s">
        <v>16</v>
      </c>
      <c r="M156" s="12"/>
      <c r="N156" s="12"/>
      <c r="O156" s="13"/>
    </row>
    <row r="157" customFormat="false" ht="23.85" hidden="false" customHeight="false" outlineLevel="0" collapsed="false">
      <c r="A157" s="12" t="s">
        <v>845</v>
      </c>
      <c r="B157" s="13" t="s">
        <v>37</v>
      </c>
      <c r="C157" s="13" t="s">
        <v>846</v>
      </c>
      <c r="D157" s="13" t="s">
        <v>847</v>
      </c>
      <c r="E157" s="13" t="s">
        <v>848</v>
      </c>
      <c r="F157" s="13" t="s">
        <v>849</v>
      </c>
      <c r="G157" s="13" t="s">
        <v>850</v>
      </c>
      <c r="H157" s="13" t="s">
        <v>851</v>
      </c>
      <c r="I157" s="12" t="s">
        <v>43</v>
      </c>
      <c r="J157" s="12" t="s">
        <v>63</v>
      </c>
      <c r="K157" s="13"/>
      <c r="L157" s="12" t="s">
        <v>16</v>
      </c>
      <c r="M157" s="12"/>
      <c r="N157" s="12"/>
      <c r="O157" s="13"/>
    </row>
    <row r="158" customFormat="false" ht="23.85" hidden="false" customHeight="false" outlineLevel="0" collapsed="false">
      <c r="A158" s="12" t="s">
        <v>852</v>
      </c>
      <c r="B158" s="13" t="s">
        <v>37</v>
      </c>
      <c r="C158" s="13" t="s">
        <v>846</v>
      </c>
      <c r="D158" s="13" t="s">
        <v>853</v>
      </c>
      <c r="E158" s="13" t="s">
        <v>61</v>
      </c>
      <c r="F158" s="13" t="s">
        <v>854</v>
      </c>
      <c r="G158" s="13" t="s">
        <v>855</v>
      </c>
      <c r="H158" s="13" t="s">
        <v>856</v>
      </c>
      <c r="I158" s="12" t="s">
        <v>43</v>
      </c>
      <c r="J158" s="12" t="s">
        <v>81</v>
      </c>
      <c r="K158" s="13"/>
      <c r="L158" s="12" t="s">
        <v>16</v>
      </c>
      <c r="M158" s="12"/>
      <c r="N158" s="12"/>
      <c r="O158" s="13"/>
    </row>
    <row r="159" customFormat="false" ht="15" hidden="false" customHeight="false" outlineLevel="0" collapsed="false">
      <c r="A159" s="12" t="s">
        <v>857</v>
      </c>
      <c r="B159" s="13" t="s">
        <v>37</v>
      </c>
      <c r="C159" s="13" t="s">
        <v>858</v>
      </c>
      <c r="D159" s="13" t="s">
        <v>859</v>
      </c>
      <c r="E159" s="13" t="s">
        <v>61</v>
      </c>
      <c r="F159" s="13" t="s">
        <v>860</v>
      </c>
      <c r="G159" s="13" t="s">
        <v>861</v>
      </c>
      <c r="H159" s="13" t="s">
        <v>862</v>
      </c>
      <c r="I159" s="12" t="s">
        <v>43</v>
      </c>
      <c r="J159" s="12" t="s">
        <v>63</v>
      </c>
      <c r="K159" s="13"/>
      <c r="L159" s="12" t="s">
        <v>16</v>
      </c>
      <c r="M159" s="12"/>
      <c r="N159" s="12"/>
      <c r="O159" s="13"/>
    </row>
    <row r="160" customFormat="false" ht="15" hidden="false" customHeight="false" outlineLevel="0" collapsed="false">
      <c r="A160" s="12" t="s">
        <v>863</v>
      </c>
      <c r="B160" s="13" t="s">
        <v>37</v>
      </c>
      <c r="C160" s="13" t="s">
        <v>698</v>
      </c>
      <c r="D160" s="13" t="s">
        <v>864</v>
      </c>
      <c r="E160" s="13" t="s">
        <v>865</v>
      </c>
      <c r="F160" s="13" t="s">
        <v>866</v>
      </c>
      <c r="G160" s="13" t="s">
        <v>61</v>
      </c>
      <c r="H160" s="13" t="s">
        <v>867</v>
      </c>
      <c r="I160" s="12" t="s">
        <v>80</v>
      </c>
      <c r="J160" s="12" t="s">
        <v>81</v>
      </c>
      <c r="K160" s="13"/>
      <c r="L160" s="12" t="s">
        <v>16</v>
      </c>
      <c r="M160" s="12"/>
      <c r="N160" s="12"/>
      <c r="O160" s="13"/>
    </row>
    <row r="161" customFormat="false" ht="15" hidden="false" customHeight="false" outlineLevel="0" collapsed="false">
      <c r="A161" s="12" t="s">
        <v>868</v>
      </c>
      <c r="B161" s="13" t="s">
        <v>37</v>
      </c>
      <c r="C161" s="13" t="s">
        <v>698</v>
      </c>
      <c r="D161" s="13" t="s">
        <v>869</v>
      </c>
      <c r="E161" s="13" t="s">
        <v>870</v>
      </c>
      <c r="F161" s="13" t="s">
        <v>871</v>
      </c>
      <c r="G161" s="13" t="s">
        <v>61</v>
      </c>
      <c r="H161" s="13" t="s">
        <v>872</v>
      </c>
      <c r="I161" s="12" t="s">
        <v>157</v>
      </c>
      <c r="J161" s="12" t="s">
        <v>81</v>
      </c>
      <c r="K161" s="13"/>
      <c r="L161" s="12" t="s">
        <v>16</v>
      </c>
      <c r="M161" s="12"/>
      <c r="N161" s="12"/>
      <c r="O161" s="13"/>
    </row>
    <row r="162" customFormat="false" ht="23.85" hidden="false" customHeight="false" outlineLevel="0" collapsed="false">
      <c r="A162" s="12" t="s">
        <v>873</v>
      </c>
      <c r="B162" s="13" t="s">
        <v>37</v>
      </c>
      <c r="C162" s="13" t="s">
        <v>874</v>
      </c>
      <c r="D162" s="13" t="s">
        <v>875</v>
      </c>
      <c r="E162" s="13" t="s">
        <v>61</v>
      </c>
      <c r="F162" s="13" t="s">
        <v>876</v>
      </c>
      <c r="G162" s="13" t="s">
        <v>877</v>
      </c>
      <c r="H162" s="13" t="s">
        <v>878</v>
      </c>
      <c r="I162" s="12" t="s">
        <v>43</v>
      </c>
      <c r="J162" s="12" t="s">
        <v>81</v>
      </c>
      <c r="K162" s="13"/>
      <c r="L162" s="12" t="s">
        <v>16</v>
      </c>
      <c r="M162" s="12"/>
      <c r="N162" s="12"/>
      <c r="O162" s="13" t="s">
        <v>879</v>
      </c>
    </row>
    <row r="163" customFormat="false" ht="23.85" hidden="false" customHeight="false" outlineLevel="0" collapsed="false">
      <c r="A163" s="12" t="s">
        <v>880</v>
      </c>
      <c r="B163" s="13" t="s">
        <v>38</v>
      </c>
      <c r="C163" s="13" t="s">
        <v>881</v>
      </c>
      <c r="D163" s="13" t="s">
        <v>882</v>
      </c>
      <c r="E163" s="13" t="s">
        <v>883</v>
      </c>
      <c r="F163" s="13" t="s">
        <v>884</v>
      </c>
      <c r="G163" s="13" t="s">
        <v>885</v>
      </c>
      <c r="H163" s="13" t="s">
        <v>886</v>
      </c>
      <c r="I163" s="12" t="s">
        <v>43</v>
      </c>
      <c r="J163" s="12" t="s">
        <v>63</v>
      </c>
      <c r="K163" s="13"/>
      <c r="L163" s="12" t="s">
        <v>16</v>
      </c>
      <c r="M163" s="12"/>
      <c r="N163" s="12"/>
      <c r="O163" s="13"/>
    </row>
    <row r="164" customFormat="false" ht="23.85" hidden="false" customHeight="false" outlineLevel="0" collapsed="false">
      <c r="A164" s="12" t="s">
        <v>887</v>
      </c>
      <c r="B164" s="13" t="s">
        <v>38</v>
      </c>
      <c r="C164" s="13" t="s">
        <v>881</v>
      </c>
      <c r="D164" s="13" t="s">
        <v>888</v>
      </c>
      <c r="E164" s="13" t="s">
        <v>61</v>
      </c>
      <c r="F164" s="13" t="s">
        <v>889</v>
      </c>
      <c r="G164" s="13" t="s">
        <v>890</v>
      </c>
      <c r="H164" s="13" t="s">
        <v>891</v>
      </c>
      <c r="I164" s="12" t="s">
        <v>43</v>
      </c>
      <c r="J164" s="12" t="s">
        <v>63</v>
      </c>
      <c r="K164" s="13"/>
      <c r="L164" s="12" t="s">
        <v>16</v>
      </c>
      <c r="M164" s="12"/>
      <c r="N164" s="12"/>
      <c r="O164" s="13"/>
    </row>
    <row r="165" customFormat="false" ht="15" hidden="false" customHeight="false" outlineLevel="0" collapsed="false">
      <c r="A165" s="12" t="s">
        <v>892</v>
      </c>
      <c r="B165" s="13" t="s">
        <v>38</v>
      </c>
      <c r="C165" s="13" t="s">
        <v>881</v>
      </c>
      <c r="D165" s="13" t="s">
        <v>893</v>
      </c>
      <c r="E165" s="13" t="s">
        <v>894</v>
      </c>
      <c r="F165" s="13" t="s">
        <v>895</v>
      </c>
      <c r="G165" s="13" t="s">
        <v>896</v>
      </c>
      <c r="H165" s="13" t="s">
        <v>897</v>
      </c>
      <c r="I165" s="12" t="s">
        <v>43</v>
      </c>
      <c r="J165" s="12" t="s">
        <v>63</v>
      </c>
      <c r="K165" s="13"/>
      <c r="L165" s="12" t="s">
        <v>16</v>
      </c>
      <c r="M165" s="12"/>
      <c r="N165" s="12"/>
      <c r="O165" s="13"/>
    </row>
    <row r="166" customFormat="false" ht="23.85" hidden="false" customHeight="false" outlineLevel="0" collapsed="false">
      <c r="A166" s="12" t="s">
        <v>898</v>
      </c>
      <c r="B166" s="13" t="s">
        <v>38</v>
      </c>
      <c r="C166" s="13" t="s">
        <v>881</v>
      </c>
      <c r="D166" s="13" t="s">
        <v>899</v>
      </c>
      <c r="E166" s="13" t="s">
        <v>900</v>
      </c>
      <c r="F166" s="13" t="s">
        <v>901</v>
      </c>
      <c r="G166" s="13" t="s">
        <v>902</v>
      </c>
      <c r="H166" s="13" t="s">
        <v>903</v>
      </c>
      <c r="I166" s="12" t="s">
        <v>43</v>
      </c>
      <c r="J166" s="12" t="s">
        <v>63</v>
      </c>
      <c r="K166" s="13"/>
      <c r="L166" s="12" t="s">
        <v>16</v>
      </c>
      <c r="M166" s="12"/>
      <c r="N166" s="12"/>
      <c r="O166" s="13"/>
    </row>
    <row r="167" customFormat="false" ht="15" hidden="false" customHeight="false" outlineLevel="0" collapsed="false">
      <c r="A167" s="12" t="s">
        <v>904</v>
      </c>
      <c r="B167" s="13" t="s">
        <v>38</v>
      </c>
      <c r="C167" s="13" t="s">
        <v>881</v>
      </c>
      <c r="D167" s="13" t="s">
        <v>905</v>
      </c>
      <c r="E167" s="13" t="s">
        <v>906</v>
      </c>
      <c r="F167" s="13" t="s">
        <v>907</v>
      </c>
      <c r="G167" s="13" t="s">
        <v>61</v>
      </c>
      <c r="H167" s="13" t="s">
        <v>908</v>
      </c>
      <c r="I167" s="12" t="s">
        <v>80</v>
      </c>
      <c r="J167" s="12" t="s">
        <v>63</v>
      </c>
      <c r="K167" s="13"/>
      <c r="L167" s="12" t="s">
        <v>16</v>
      </c>
      <c r="M167" s="12"/>
      <c r="N167" s="12"/>
      <c r="O167" s="13"/>
    </row>
    <row r="168" customFormat="false" ht="15" hidden="false" customHeight="false" outlineLevel="0" collapsed="false">
      <c r="A168" s="12" t="s">
        <v>909</v>
      </c>
      <c r="B168" s="13" t="s">
        <v>38</v>
      </c>
      <c r="C168" s="13" t="s">
        <v>881</v>
      </c>
      <c r="D168" s="13" t="s">
        <v>910</v>
      </c>
      <c r="E168" s="13" t="s">
        <v>61</v>
      </c>
      <c r="F168" s="13" t="s">
        <v>911</v>
      </c>
      <c r="G168" s="13" t="s">
        <v>61</v>
      </c>
      <c r="H168" s="13" t="s">
        <v>912</v>
      </c>
      <c r="I168" s="12" t="s">
        <v>43</v>
      </c>
      <c r="J168" s="12" t="s">
        <v>63</v>
      </c>
      <c r="K168" s="13"/>
      <c r="L168" s="12" t="s">
        <v>16</v>
      </c>
      <c r="M168" s="12"/>
      <c r="N168" s="12"/>
      <c r="O168" s="13"/>
    </row>
    <row r="169" customFormat="false" ht="15" hidden="false" customHeight="false" outlineLevel="0" collapsed="false">
      <c r="A169" s="12" t="s">
        <v>913</v>
      </c>
      <c r="B169" s="13" t="s">
        <v>38</v>
      </c>
      <c r="C169" s="13" t="s">
        <v>914</v>
      </c>
      <c r="D169" s="13" t="s">
        <v>915</v>
      </c>
      <c r="E169" s="13" t="s">
        <v>916</v>
      </c>
      <c r="F169" s="13" t="s">
        <v>917</v>
      </c>
      <c r="G169" s="13" t="s">
        <v>918</v>
      </c>
      <c r="H169" s="13" t="s">
        <v>919</v>
      </c>
      <c r="I169" s="12" t="s">
        <v>43</v>
      </c>
      <c r="J169" s="12" t="s">
        <v>63</v>
      </c>
      <c r="K169" s="13"/>
      <c r="L169" s="12" t="s">
        <v>16</v>
      </c>
      <c r="M169" s="12"/>
      <c r="N169" s="12"/>
      <c r="O169" s="13"/>
    </row>
    <row r="170" customFormat="false" ht="23.85" hidden="false" customHeight="false" outlineLevel="0" collapsed="false">
      <c r="A170" s="12" t="s">
        <v>920</v>
      </c>
      <c r="B170" s="13" t="s">
        <v>38</v>
      </c>
      <c r="C170" s="13" t="s">
        <v>914</v>
      </c>
      <c r="D170" s="13" t="s">
        <v>921</v>
      </c>
      <c r="E170" s="13" t="s">
        <v>61</v>
      </c>
      <c r="F170" s="13" t="s">
        <v>922</v>
      </c>
      <c r="G170" s="13" t="s">
        <v>923</v>
      </c>
      <c r="H170" s="13" t="s">
        <v>924</v>
      </c>
      <c r="I170" s="12" t="s">
        <v>43</v>
      </c>
      <c r="J170" s="12" t="s">
        <v>63</v>
      </c>
      <c r="K170" s="13"/>
      <c r="L170" s="12" t="s">
        <v>16</v>
      </c>
      <c r="M170" s="12"/>
      <c r="N170" s="12"/>
      <c r="O170" s="13"/>
    </row>
    <row r="171" customFormat="false" ht="15" hidden="false" customHeight="false" outlineLevel="0" collapsed="false">
      <c r="A171" s="12" t="s">
        <v>925</v>
      </c>
      <c r="B171" s="13" t="s">
        <v>38</v>
      </c>
      <c r="C171" s="13" t="s">
        <v>914</v>
      </c>
      <c r="D171" s="13" t="s">
        <v>926</v>
      </c>
      <c r="E171" s="13" t="s">
        <v>61</v>
      </c>
      <c r="F171" s="13" t="s">
        <v>927</v>
      </c>
      <c r="G171" s="13" t="s">
        <v>928</v>
      </c>
      <c r="H171" s="13" t="s">
        <v>929</v>
      </c>
      <c r="I171" s="12" t="s">
        <v>43</v>
      </c>
      <c r="J171" s="12" t="s">
        <v>81</v>
      </c>
      <c r="K171" s="13"/>
      <c r="L171" s="12" t="s">
        <v>16</v>
      </c>
      <c r="M171" s="12"/>
      <c r="N171" s="12"/>
      <c r="O171" s="13"/>
    </row>
    <row r="172" customFormat="false" ht="15" hidden="false" customHeight="false" outlineLevel="0" collapsed="false">
      <c r="A172" s="12" t="s">
        <v>930</v>
      </c>
      <c r="B172" s="13" t="s">
        <v>38</v>
      </c>
      <c r="C172" s="13" t="s">
        <v>914</v>
      </c>
      <c r="D172" s="13" t="s">
        <v>931</v>
      </c>
      <c r="E172" s="13" t="s">
        <v>61</v>
      </c>
      <c r="F172" s="13" t="s">
        <v>932</v>
      </c>
      <c r="G172" s="13" t="s">
        <v>933</v>
      </c>
      <c r="H172" s="13" t="s">
        <v>934</v>
      </c>
      <c r="I172" s="12" t="s">
        <v>43</v>
      </c>
      <c r="J172" s="12" t="s">
        <v>63</v>
      </c>
      <c r="K172" s="13"/>
      <c r="L172" s="12" t="s">
        <v>16</v>
      </c>
      <c r="M172" s="12"/>
      <c r="N172" s="12"/>
      <c r="O172" s="13"/>
    </row>
    <row r="173" customFormat="false" ht="15" hidden="false" customHeight="false" outlineLevel="0" collapsed="false">
      <c r="A173" s="12" t="s">
        <v>935</v>
      </c>
      <c r="B173" s="13" t="s">
        <v>38</v>
      </c>
      <c r="C173" s="13" t="s">
        <v>914</v>
      </c>
      <c r="D173" s="13" t="s">
        <v>936</v>
      </c>
      <c r="E173" s="13" t="s">
        <v>61</v>
      </c>
      <c r="F173" s="13" t="s">
        <v>937</v>
      </c>
      <c r="G173" s="13" t="s">
        <v>61</v>
      </c>
      <c r="H173" s="13" t="s">
        <v>938</v>
      </c>
      <c r="I173" s="12" t="s">
        <v>80</v>
      </c>
      <c r="J173" s="12" t="s">
        <v>81</v>
      </c>
      <c r="K173" s="13"/>
      <c r="L173" s="12" t="s">
        <v>16</v>
      </c>
      <c r="M173" s="12"/>
      <c r="N173" s="12"/>
      <c r="O173" s="13"/>
    </row>
    <row r="174" customFormat="false" ht="23.85" hidden="false" customHeight="false" outlineLevel="0" collapsed="false">
      <c r="A174" s="12" t="s">
        <v>939</v>
      </c>
      <c r="B174" s="13" t="s">
        <v>38</v>
      </c>
      <c r="C174" s="13" t="s">
        <v>940</v>
      </c>
      <c r="D174" s="13" t="s">
        <v>941</v>
      </c>
      <c r="E174" s="13" t="s">
        <v>61</v>
      </c>
      <c r="F174" s="13" t="s">
        <v>942</v>
      </c>
      <c r="G174" s="13" t="s">
        <v>61</v>
      </c>
      <c r="H174" s="13" t="s">
        <v>943</v>
      </c>
      <c r="I174" s="12" t="s">
        <v>43</v>
      </c>
      <c r="J174" s="12" t="s">
        <v>81</v>
      </c>
      <c r="K174" s="13"/>
      <c r="L174" s="12" t="s">
        <v>16</v>
      </c>
      <c r="M174" s="12"/>
      <c r="N174" s="12"/>
      <c r="O174" s="13" t="s">
        <v>944</v>
      </c>
    </row>
    <row r="175" customFormat="false" ht="15" hidden="false" customHeight="false" outlineLevel="0" collapsed="false">
      <c r="A175" s="12" t="s">
        <v>945</v>
      </c>
      <c r="B175" s="13" t="s">
        <v>39</v>
      </c>
      <c r="C175" s="13" t="s">
        <v>946</v>
      </c>
      <c r="D175" s="13" t="s">
        <v>947</v>
      </c>
      <c r="E175" s="13" t="s">
        <v>948</v>
      </c>
      <c r="F175" s="13" t="s">
        <v>949</v>
      </c>
      <c r="G175" s="13" t="s">
        <v>950</v>
      </c>
      <c r="H175" s="13" t="s">
        <v>951</v>
      </c>
      <c r="I175" s="12" t="s">
        <v>43</v>
      </c>
      <c r="J175" s="12" t="s">
        <v>63</v>
      </c>
      <c r="K175" s="13"/>
      <c r="L175" s="12" t="s">
        <v>16</v>
      </c>
      <c r="M175" s="12"/>
      <c r="N175" s="12"/>
      <c r="O175" s="13"/>
    </row>
    <row r="176" customFormat="false" ht="15" hidden="false" customHeight="false" outlineLevel="0" collapsed="false">
      <c r="A176" s="12" t="s">
        <v>952</v>
      </c>
      <c r="B176" s="13" t="s">
        <v>39</v>
      </c>
      <c r="C176" s="13" t="s">
        <v>946</v>
      </c>
      <c r="D176" s="13" t="s">
        <v>953</v>
      </c>
      <c r="E176" s="13" t="s">
        <v>61</v>
      </c>
      <c r="F176" s="13" t="s">
        <v>954</v>
      </c>
      <c r="G176" s="13" t="s">
        <v>61</v>
      </c>
      <c r="H176" s="13" t="s">
        <v>955</v>
      </c>
      <c r="I176" s="12" t="s">
        <v>43</v>
      </c>
      <c r="J176" s="12" t="s">
        <v>81</v>
      </c>
      <c r="K176" s="13"/>
      <c r="L176" s="12" t="s">
        <v>16</v>
      </c>
      <c r="M176" s="12"/>
      <c r="N176" s="12"/>
      <c r="O176" s="13"/>
    </row>
    <row r="177" customFormat="false" ht="15" hidden="false" customHeight="false" outlineLevel="0" collapsed="false">
      <c r="A177" s="12" t="s">
        <v>956</v>
      </c>
      <c r="B177" s="13" t="s">
        <v>39</v>
      </c>
      <c r="C177" s="13" t="s">
        <v>946</v>
      </c>
      <c r="D177" s="13" t="s">
        <v>957</v>
      </c>
      <c r="E177" s="13" t="s">
        <v>61</v>
      </c>
      <c r="F177" s="13" t="s">
        <v>958</v>
      </c>
      <c r="G177" s="13" t="s">
        <v>959</v>
      </c>
      <c r="H177" s="13" t="s">
        <v>960</v>
      </c>
      <c r="I177" s="12" t="s">
        <v>157</v>
      </c>
      <c r="J177" s="12" t="s">
        <v>119</v>
      </c>
      <c r="K177" s="13"/>
      <c r="L177" s="12" t="s">
        <v>16</v>
      </c>
      <c r="M177" s="12"/>
      <c r="N177" s="12"/>
      <c r="O177" s="13"/>
    </row>
    <row r="178" customFormat="false" ht="15" hidden="false" customHeight="false" outlineLevel="0" collapsed="false">
      <c r="A178" s="12" t="s">
        <v>961</v>
      </c>
      <c r="B178" s="13" t="s">
        <v>39</v>
      </c>
      <c r="C178" s="13" t="s">
        <v>946</v>
      </c>
      <c r="D178" s="13" t="s">
        <v>962</v>
      </c>
      <c r="E178" s="13" t="s">
        <v>963</v>
      </c>
      <c r="F178" s="13" t="s">
        <v>964</v>
      </c>
      <c r="G178" s="13" t="s">
        <v>61</v>
      </c>
      <c r="H178" s="13" t="s">
        <v>755</v>
      </c>
      <c r="I178" s="12" t="s">
        <v>157</v>
      </c>
      <c r="J178" s="12" t="s">
        <v>81</v>
      </c>
      <c r="K178" s="13"/>
      <c r="L178" s="12" t="s">
        <v>16</v>
      </c>
      <c r="M178" s="12"/>
      <c r="N178" s="12"/>
      <c r="O178" s="13"/>
    </row>
    <row r="179" customFormat="false" ht="15" hidden="false" customHeight="false" outlineLevel="0" collapsed="false">
      <c r="A179" s="12" t="s">
        <v>965</v>
      </c>
      <c r="B179" s="13" t="s">
        <v>40</v>
      </c>
      <c r="C179" s="13" t="s">
        <v>966</v>
      </c>
      <c r="D179" s="13" t="s">
        <v>967</v>
      </c>
      <c r="E179" s="13" t="s">
        <v>968</v>
      </c>
      <c r="F179" s="13" t="s">
        <v>969</v>
      </c>
      <c r="G179" s="13" t="s">
        <v>61</v>
      </c>
      <c r="H179" s="13" t="s">
        <v>970</v>
      </c>
      <c r="I179" s="12" t="s">
        <v>43</v>
      </c>
      <c r="J179" s="12" t="s">
        <v>63</v>
      </c>
      <c r="K179" s="13"/>
      <c r="L179" s="12" t="s">
        <v>16</v>
      </c>
      <c r="M179" s="12"/>
      <c r="N179" s="12"/>
      <c r="O179" s="13"/>
    </row>
    <row r="180" customFormat="false" ht="15" hidden="false" customHeight="false" outlineLevel="0" collapsed="false">
      <c r="A180" s="12" t="s">
        <v>971</v>
      </c>
      <c r="B180" s="13" t="s">
        <v>40</v>
      </c>
      <c r="C180" s="13" t="s">
        <v>966</v>
      </c>
      <c r="D180" s="13" t="s">
        <v>972</v>
      </c>
      <c r="E180" s="13" t="s">
        <v>61</v>
      </c>
      <c r="F180" s="13" t="s">
        <v>973</v>
      </c>
      <c r="G180" s="13" t="s">
        <v>61</v>
      </c>
      <c r="H180" s="13" t="s">
        <v>974</v>
      </c>
      <c r="I180" s="12" t="s">
        <v>43</v>
      </c>
      <c r="J180" s="12" t="s">
        <v>63</v>
      </c>
      <c r="K180" s="13"/>
      <c r="L180" s="12" t="s">
        <v>16</v>
      </c>
      <c r="M180" s="12"/>
      <c r="N180" s="12"/>
      <c r="O180" s="13"/>
    </row>
    <row r="181" customFormat="false" ht="23.85" hidden="false" customHeight="false" outlineLevel="0" collapsed="false">
      <c r="A181" s="12" t="s">
        <v>975</v>
      </c>
      <c r="B181" s="13" t="s">
        <v>40</v>
      </c>
      <c r="C181" s="13" t="s">
        <v>966</v>
      </c>
      <c r="D181" s="13" t="s">
        <v>976</v>
      </c>
      <c r="E181" s="13" t="s">
        <v>61</v>
      </c>
      <c r="F181" s="13" t="s">
        <v>977</v>
      </c>
      <c r="G181" s="13" t="s">
        <v>978</v>
      </c>
      <c r="H181" s="13" t="s">
        <v>979</v>
      </c>
      <c r="I181" s="12" t="s">
        <v>512</v>
      </c>
      <c r="J181" s="12" t="s">
        <v>81</v>
      </c>
      <c r="K181" s="13"/>
      <c r="L181" s="12" t="s">
        <v>16</v>
      </c>
      <c r="M181" s="12"/>
      <c r="N181" s="12"/>
      <c r="O181" s="13"/>
    </row>
    <row r="182" customFormat="false" ht="23.85" hidden="false" customHeight="false" outlineLevel="0" collapsed="false">
      <c r="A182" s="12" t="s">
        <v>980</v>
      </c>
      <c r="B182" s="13" t="s">
        <v>40</v>
      </c>
      <c r="C182" s="13" t="s">
        <v>966</v>
      </c>
      <c r="D182" s="13" t="s">
        <v>981</v>
      </c>
      <c r="E182" s="13" t="s">
        <v>61</v>
      </c>
      <c r="F182" s="13" t="s">
        <v>982</v>
      </c>
      <c r="G182" s="13" t="s">
        <v>61</v>
      </c>
      <c r="H182" s="13" t="s">
        <v>983</v>
      </c>
      <c r="I182" s="12" t="s">
        <v>157</v>
      </c>
      <c r="J182" s="12" t="s">
        <v>81</v>
      </c>
      <c r="K182" s="13"/>
      <c r="L182" s="12" t="s">
        <v>16</v>
      </c>
      <c r="M182" s="12"/>
      <c r="N182" s="12"/>
      <c r="O182" s="13"/>
    </row>
    <row r="183" customFormat="false" ht="15" hidden="false" customHeight="false" outlineLevel="0" collapsed="false">
      <c r="A183" s="12" t="s">
        <v>984</v>
      </c>
      <c r="B183" s="13" t="s">
        <v>40</v>
      </c>
      <c r="C183" s="13" t="s">
        <v>966</v>
      </c>
      <c r="D183" s="13" t="s">
        <v>985</v>
      </c>
      <c r="E183" s="13" t="s">
        <v>61</v>
      </c>
      <c r="F183" s="13" t="s">
        <v>986</v>
      </c>
      <c r="G183" s="13" t="s">
        <v>61</v>
      </c>
      <c r="H183" s="13" t="s">
        <v>987</v>
      </c>
      <c r="I183" s="12" t="s">
        <v>80</v>
      </c>
      <c r="J183" s="12" t="s">
        <v>81</v>
      </c>
      <c r="K183" s="13"/>
      <c r="L183" s="12" t="s">
        <v>16</v>
      </c>
      <c r="M183" s="12"/>
      <c r="N183" s="12"/>
      <c r="O183" s="13"/>
    </row>
    <row r="184" customFormat="false" ht="15" hidden="false" customHeight="false" outlineLevel="0" collapsed="false">
      <c r="A184" s="12" t="s">
        <v>988</v>
      </c>
      <c r="B184" s="13" t="s">
        <v>40</v>
      </c>
      <c r="C184" s="13" t="s">
        <v>966</v>
      </c>
      <c r="D184" s="13" t="s">
        <v>989</v>
      </c>
      <c r="E184" s="13" t="s">
        <v>61</v>
      </c>
      <c r="F184" s="13" t="s">
        <v>990</v>
      </c>
      <c r="G184" s="13" t="s">
        <v>61</v>
      </c>
      <c r="H184" s="13" t="s">
        <v>991</v>
      </c>
      <c r="I184" s="12" t="s">
        <v>43</v>
      </c>
      <c r="J184" s="12" t="s">
        <v>81</v>
      </c>
      <c r="K184" s="13"/>
      <c r="L184" s="12" t="s">
        <v>16</v>
      </c>
      <c r="M184" s="12"/>
      <c r="N184" s="12"/>
      <c r="O184" s="13"/>
    </row>
  </sheetData>
  <autoFilter ref="A1:O184"/>
  <conditionalFormatting sqref="L2:L184">
    <cfRule type="cellIs" priority="2" operator="equal" aboveAverage="0" equalAverage="0" bottom="0" percent="0" rank="0" text="" dxfId="3">
      <formula>"Đạt"</formula>
    </cfRule>
    <cfRule type="cellIs" priority="3" operator="equal" aboveAverage="0" equalAverage="0" bottom="0" percent="0" rank="0" text="" dxfId="4">
      <formula>"Không đạt"</formula>
    </cfRule>
    <cfRule type="cellIs" priority="4" operator="equal" aboveAverage="0" equalAverage="0" bottom="0" percent="0" rank="0" text="" dxfId="5">
      <formula>"Bị chặn"</formula>
    </cfRule>
    <cfRule type="cellIs" priority="5" operator="equal" aboveAverage="0" equalAverage="0" bottom="0" percent="0" rank="0" text="" dxfId="6">
      <formula>"Bỏ qua"</formula>
    </cfRule>
  </conditionalFormatting>
  <dataValidations count="2">
    <dataValidation allowBlank="false" errorStyle="stop" operator="between" showDropDown="false" showErrorMessage="false" showInputMessage="false" sqref="L2:L184" type="list">
      <formula1>"Chưa chạy,Đạt,Không đạt,Bị chặn,Bỏ qua"</formula1>
      <formula2>0</formula2>
    </dataValidation>
    <dataValidation allowBlank="false" errorStyle="stop" operator="between" showDropDown="false" showErrorMessage="false" showInputMessage="false" sqref="J2:J184" type="list">
      <formula1>"Cao,Trung bình,Thấp"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70"/>
    <col collapsed="false" customWidth="true" hidden="false" outlineLevel="0" max="4" min="4" style="0" width="38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1" t="s">
        <v>992</v>
      </c>
      <c r="B1" s="11" t="s">
        <v>993</v>
      </c>
      <c r="C1" s="11" t="s">
        <v>994</v>
      </c>
      <c r="D1" s="11" t="s">
        <v>995</v>
      </c>
      <c r="E1" s="11" t="s">
        <v>996</v>
      </c>
    </row>
    <row r="2" customFormat="false" ht="15" hidden="false" customHeight="false" outlineLevel="0" collapsed="false">
      <c r="A2" s="12" t="n">
        <v>1</v>
      </c>
      <c r="B2" s="13" t="s">
        <v>997</v>
      </c>
      <c r="C2" s="13" t="s">
        <v>998</v>
      </c>
      <c r="D2" s="13" t="s">
        <v>999</v>
      </c>
      <c r="E2" s="12" t="s">
        <v>81</v>
      </c>
    </row>
    <row r="3" customFormat="false" ht="23.85" hidden="false" customHeight="false" outlineLevel="0" collapsed="false">
      <c r="A3" s="12" t="n">
        <v>2</v>
      </c>
      <c r="B3" s="13" t="s">
        <v>1000</v>
      </c>
      <c r="C3" s="13" t="s">
        <v>1001</v>
      </c>
      <c r="D3" s="13" t="s">
        <v>1002</v>
      </c>
      <c r="E3" s="12" t="s">
        <v>63</v>
      </c>
    </row>
    <row r="4" customFormat="false" ht="23.85" hidden="false" customHeight="false" outlineLevel="0" collapsed="false">
      <c r="A4" s="12" t="n">
        <v>3</v>
      </c>
      <c r="B4" s="13" t="s">
        <v>1003</v>
      </c>
      <c r="C4" s="13" t="s">
        <v>1004</v>
      </c>
      <c r="D4" s="13" t="s">
        <v>1005</v>
      </c>
      <c r="E4" s="12" t="s">
        <v>81</v>
      </c>
    </row>
    <row r="5" customFormat="false" ht="15" hidden="false" customHeight="false" outlineLevel="0" collapsed="false">
      <c r="A5" s="12" t="n">
        <v>4</v>
      </c>
      <c r="B5" s="13" t="s">
        <v>1006</v>
      </c>
      <c r="C5" s="13" t="s">
        <v>1007</v>
      </c>
      <c r="D5" s="13" t="s">
        <v>1008</v>
      </c>
      <c r="E5" s="12" t="s">
        <v>63</v>
      </c>
    </row>
    <row r="6" customFormat="false" ht="23.85" hidden="false" customHeight="false" outlineLevel="0" collapsed="false">
      <c r="A6" s="12" t="n">
        <v>5</v>
      </c>
      <c r="B6" s="13" t="s">
        <v>1009</v>
      </c>
      <c r="C6" s="13" t="s">
        <v>1010</v>
      </c>
      <c r="D6" s="13" t="s">
        <v>1011</v>
      </c>
      <c r="E6" s="12" t="s">
        <v>119</v>
      </c>
    </row>
    <row r="7" customFormat="false" ht="15" hidden="false" customHeight="false" outlineLevel="0" collapsed="false">
      <c r="A7" s="12" t="n">
        <v>6</v>
      </c>
      <c r="B7" s="13" t="s">
        <v>1012</v>
      </c>
      <c r="C7" s="13" t="s">
        <v>1013</v>
      </c>
      <c r="D7" s="13" t="s">
        <v>1014</v>
      </c>
      <c r="E7" s="12" t="s">
        <v>81</v>
      </c>
    </row>
    <row r="8" customFormat="false" ht="15" hidden="false" customHeight="false" outlineLevel="0" collapsed="false">
      <c r="A8" s="12" t="n">
        <v>7</v>
      </c>
      <c r="B8" s="13" t="s">
        <v>1015</v>
      </c>
      <c r="C8" s="13" t="s">
        <v>1016</v>
      </c>
      <c r="D8" s="13" t="s">
        <v>1017</v>
      </c>
      <c r="E8" s="12" t="s">
        <v>81</v>
      </c>
    </row>
    <row r="9" customFormat="false" ht="15" hidden="false" customHeight="false" outlineLevel="0" collapsed="false">
      <c r="A9" s="12" t="n">
        <v>8</v>
      </c>
      <c r="B9" s="13" t="s">
        <v>1018</v>
      </c>
      <c r="C9" s="13" t="s">
        <v>1019</v>
      </c>
      <c r="D9" s="13" t="s">
        <v>1017</v>
      </c>
      <c r="E9" s="12" t="s">
        <v>81</v>
      </c>
    </row>
    <row r="10" customFormat="false" ht="15" hidden="false" customHeight="false" outlineLevel="0" collapsed="false">
      <c r="A10" s="12" t="n">
        <v>9</v>
      </c>
      <c r="B10" s="13" t="s">
        <v>1020</v>
      </c>
      <c r="C10" s="13" t="s">
        <v>1021</v>
      </c>
      <c r="D10" s="13" t="s">
        <v>1022</v>
      </c>
      <c r="E10" s="12" t="s">
        <v>119</v>
      </c>
    </row>
    <row r="11" customFormat="false" ht="15" hidden="false" customHeight="false" outlineLevel="0" collapsed="false">
      <c r="A11" s="12" t="n">
        <v>10</v>
      </c>
      <c r="B11" s="13" t="s">
        <v>1023</v>
      </c>
      <c r="C11" s="13" t="s">
        <v>1024</v>
      </c>
      <c r="D11" s="13" t="s">
        <v>1025</v>
      </c>
      <c r="E11" s="12" t="s">
        <v>81</v>
      </c>
    </row>
    <row r="12" customFormat="false" ht="23.85" hidden="false" customHeight="false" outlineLevel="0" collapsed="false">
      <c r="A12" s="12" t="n">
        <v>11</v>
      </c>
      <c r="B12" s="13" t="s">
        <v>1026</v>
      </c>
      <c r="C12" s="13" t="s">
        <v>1027</v>
      </c>
      <c r="D12" s="13" t="s">
        <v>1028</v>
      </c>
      <c r="E12" s="12" t="s">
        <v>119</v>
      </c>
    </row>
    <row r="13" customFormat="false" ht="23.85" hidden="false" customHeight="false" outlineLevel="0" collapsed="false">
      <c r="A13" s="12" t="n">
        <v>12</v>
      </c>
      <c r="B13" s="13" t="s">
        <v>1029</v>
      </c>
      <c r="C13" s="13" t="s">
        <v>1030</v>
      </c>
      <c r="D13" s="13" t="s">
        <v>1031</v>
      </c>
      <c r="E13" s="12" t="s">
        <v>119</v>
      </c>
    </row>
    <row r="14" customFormat="false" ht="23.85" hidden="false" customHeight="false" outlineLevel="0" collapsed="false">
      <c r="A14" s="12" t="n">
        <v>13</v>
      </c>
      <c r="B14" s="13" t="s">
        <v>1032</v>
      </c>
      <c r="C14" s="13" t="s">
        <v>1033</v>
      </c>
      <c r="D14" s="13" t="s">
        <v>1034</v>
      </c>
      <c r="E14" s="12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2026-10-19T08:27:43Z</dcterms:created>
  <dc:creator>openpyxl</dc:creator>
  <dc:description/>
  <dc:language>en-US</dc:language>
  <cp:lastModifiedBy/>
  <dcterms:modified xsi:type="dcterms:W3CDTF">2026-10-19T08:27:43Z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